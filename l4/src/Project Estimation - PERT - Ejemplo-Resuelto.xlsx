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AYxKDb9t6YwEi2D6z+rIylwvJAO8SkGdrfRtshg+tFArcyBOL90MssA7mYgC/yZRgW05i/avsw8uKLSK0cfFzg==" workbookSaltValue="39v/Jr1K2uYKgAppHrLlCA==" workbookSpinCount="100000"/>
  <bookViews>
    <workbookView visibility="visible" minimized="0" showHorizontalScroll="1" showVerticalScroll="1" showSheetTabs="1" xWindow="0" yWindow="840" windowWidth="38400" windowHeight="19540" tabRatio="600" firstSheet="0" activeTab="1" autoFilterDateGrouping="1"/>
  </bookViews>
  <sheets>
    <sheet name="Project Dashboard" sheetId="1" state="visible" r:id="rId1"/>
    <sheet name="Project Estimates" sheetId="2" state="visible" r:id="rId2"/>
    <sheet name="Sprint Planner" sheetId="3" state="visible" r:id="rId3"/>
    <sheet name="Resources" sheetId="4" state="visible" r:id="rId4"/>
    <sheet name="Helpers" sheetId="5" state="visible" r:id="rId5"/>
  </sheets>
  <definedNames>
    <definedName name="RESOURCE">Resources!$B$1:$B$10</definedName>
    <definedName name="RESOURCETYPE">Helpers!$E$2:$E$4</definedName>
    <definedName name="Status">Helpers!$A$2:$A$6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2"/>
      <sz val="11"/>
      <scheme val="minor"/>
    </font>
    <font>
      <name val="Segoe UI"/>
      <family val="2"/>
      <b val="1"/>
      <color rgb="FF5F6368"/>
      <sz val="11"/>
    </font>
    <font>
      <name val="Arial"/>
      <family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5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4" borderId="0" pivotButton="0" quotePrefix="0" xfId="0"/>
    <xf numFmtId="14" fontId="0" fillId="0" borderId="0" applyAlignment="1" pivotButton="0" quotePrefix="0" xfId="0">
      <alignment horizontal="center" vertical="center"/>
    </xf>
    <xf numFmtId="14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14" fontId="6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2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left" wrapText="1"/>
    </xf>
    <xf numFmtId="0" fontId="2" fillId="3" borderId="0" pivotButton="0" quotePrefix="0" xfId="0"/>
    <xf numFmtId="2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3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14" fontId="2" fillId="3" borderId="0" applyAlignment="1" applyProtection="1" pivotButton="0" quotePrefix="0" xfId="0">
      <alignment horizontal="left"/>
      <protection locked="0" hidden="0"/>
    </xf>
    <xf numFmtId="0" fontId="6" fillId="5" borderId="0" applyAlignment="1" applyProtection="1" pivotButton="0" quotePrefix="0" xfId="0">
      <alignment horizontal="left" vertical="center" wrapText="1"/>
      <protection locked="0" hidden="0"/>
    </xf>
    <xf numFmtId="0" fontId="6" fillId="5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6" fillId="5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applyProtection="1" pivotButton="0" quotePrefix="0" xfId="0">
      <alignment vertical="center" wrapText="1"/>
      <protection locked="0" hidden="0"/>
    </xf>
    <xf numFmtId="2" fontId="5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2" fontId="0" fillId="0" borderId="0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horizontal="left" vertical="center" wrapText="1"/>
    </xf>
    <xf numFmtId="2" fontId="9" fillId="8" borderId="0" applyAlignment="1" pivotButton="0" quotePrefix="0" xfId="0">
      <alignment horizontal="center" vertical="center"/>
    </xf>
    <xf numFmtId="2" fontId="9" fillId="2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layout>
        <manualLayout>
          <xMode val="edge"/>
          <yMode val="edge"/>
          <wMode val="factor"/>
          <hMode val="factor"/>
          <x val="0.3911965113109839"/>
          <y val="0.0241545893719806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'Project Estimates'!$H$1</f>
              <strCache>
                <ptCount val="1"/>
                <pt idx="0">
                  <v>Man Days</v>
                </pt>
              </strCache>
            </strRef>
          </tx>
          <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Estimates'!$H$2:$H$18</f>
              <numCache>
                <formatCode>0.00</formatCode>
                <ptCount val="17"/>
                <pt idx="0">
                  <v>4</v>
                </pt>
                <pt idx="1">
                  <v>3.166666666666667</v>
                </pt>
                <pt idx="2">
                  <v>7.166666666666667</v>
                </pt>
                <pt idx="3">
                  <v>2</v>
                </pt>
                <pt idx="4">
                  <v>2</v>
                </pt>
                <pt idx="5">
                  <v>5</v>
                </pt>
                <pt idx="6">
                  <v>3.166666666666667</v>
                </pt>
                <pt idx="7">
                  <v>3.166666666666667</v>
                </pt>
                <pt idx="8">
                  <v>10</v>
                </pt>
                <pt idx="9">
                  <v>7</v>
                </pt>
                <pt idx="10">
                  <v>12</v>
                </pt>
                <pt idx="11">
                  <v>1</v>
                </pt>
                <pt idx="12">
                  <v>1</v>
                </pt>
                <pt idx="13">
                  <v>3.166666666666667</v>
                </pt>
                <pt idx="14">
                  <v>5</v>
                </pt>
                <pt idx="15">
                  <v>5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65"/>
        <axId val="459632543"/>
        <axId val="2042903535"/>
      </barChart>
      <catAx>
        <axId val="45963254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42903535"/>
        <crosses val="autoZero"/>
        <auto val="1"/>
        <lblAlgn val="ctr"/>
        <lblOffset val="100"/>
        <noMultiLvlLbl val="0"/>
      </catAx>
      <valAx>
        <axId val="2042903535"/>
        <scaling>
          <orientation val="minMax"/>
        </scaling>
        <delete val="0"/>
        <axPos val="b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59632543"/>
        <crosses val="autoZero"/>
        <crossBetween val="between"/>
      </valAx>
    </plotArea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IN" sz="1800" b="1" i="0" strike="noStrike" kern="1200" spc="0" normalizeH="0" baseline="0" noProof="0">
                <a:ln>
                  <a:noFill/>
                  <a:prstDash val="solid"/>
                </a:ln>
                <a:solidFill>
                  <a:sysClr val="windowText" lastClr="000000">
                    <a:lumOff val="25000"/>
                    <a:lumMod val="75000"/>
                  </a:sysClr>
                </a:solidFill>
                <effectLst/>
                <a:uLnTx/>
                <a:uFillTx/>
                <a:latin typeface="Calibri" panose="020F0502020204030204"/>
              </a:rPr>
              <a:t>Progress Tracking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'Project Estimates'!$D$1</f>
              <strCache>
                <ptCount val="1"/>
                <pt idx="0">
                  <v>Total Count</v>
                </pt>
              </strCache>
            </strRef>
          </tx>
          <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Estimates'!$D$2:$D$18</f>
              <numCache>
                <formatCode>General</formatCode>
                <ptCount val="17"/>
                <pt idx="0">
                  <v>4</v>
                </pt>
                <pt idx="1">
                  <v>2</v>
                </pt>
                <pt idx="2">
                  <v>4</v>
                </pt>
                <pt idx="3">
                  <v>3</v>
                </pt>
                <pt idx="4">
                  <v>1</v>
                </pt>
                <pt idx="5">
                  <v>2</v>
                </pt>
                <pt idx="6">
                  <v>2</v>
                </pt>
                <pt idx="7">
                  <v>2</v>
                </pt>
                <pt idx="8">
                  <v>2</v>
                </pt>
                <pt idx="9">
                  <v>6</v>
                </pt>
                <pt idx="10">
                  <v>8</v>
                </pt>
                <pt idx="11">
                  <v>1</v>
                </pt>
                <pt idx="12">
                  <v>1</v>
                </pt>
                <pt idx="13">
                  <v>2</v>
                </pt>
                <pt idx="14">
                  <v>2</v>
                </pt>
                <pt idx="15">
                  <v>2</v>
                </pt>
              </numCache>
            </numRef>
          </val>
        </ser>
        <ser>
          <idx val="1"/>
          <order val="1"/>
          <tx>
            <strRef>
              <f>'Project Estimates'!$J$1</f>
              <strCache>
                <ptCount val="1"/>
                <pt idx="0">
                  <v>Completed Tasks</v>
                </pt>
              </strCache>
            </strRef>
          </tx>
          <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Estimates'!$J$2:$J$18</f>
              <numCache>
                <formatCode>General</formatCode>
                <ptCount val="17"/>
                <pt idx="0">
                  <v>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65"/>
        <axId val="1194877647"/>
        <axId val="1194865999"/>
      </barChart>
      <catAx>
        <axId val="119487764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94865999"/>
        <crosses val="autoZero"/>
        <auto val="1"/>
        <lblAlgn val="ctr"/>
        <lblOffset val="100"/>
        <noMultiLvlLbl val="0"/>
      </catAx>
      <valAx>
        <axId val="1194865999"/>
        <scaling>
          <orientation val="minMax"/>
        </scaling>
        <delete val="0"/>
        <axPos val="b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94877647"/>
        <crosses val="autoZero"/>
        <crossBetween val="between"/>
      </valAx>
    </plotArea>
    <legend>
      <legendPos val="b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Resource Utilization</a:t>
            </a:r>
          </a:p>
        </rich>
      </tx>
      <layout>
        <manualLayout>
          <xMode val="edge"/>
          <yMode val="edge"/>
          <wMode val="factor"/>
          <hMode val="factor"/>
          <x val="0.2885799945489234"/>
          <y val="0.0289855072463768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Resources!$E$1</f>
              <strCache>
                <ptCount val="1"/>
                <pt idx="0">
                  <v>Assigned Tasks</v>
                </pt>
              </strCache>
            </strRef>
          </tx>
          <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Resources!$B$2:$B$6</f>
              <strCache>
                <ptCount val="5"/>
                <pt idx="0">
                  <v xml:space="preserve">Architect </v>
                </pt>
                <pt idx="1">
                  <v>Senior Java Developer</v>
                </pt>
                <pt idx="2">
                  <v>Frontend Developer</v>
                </pt>
                <pt idx="3">
                  <v>UX Designer</v>
                </pt>
                <pt idx="4">
                  <v>Test Engineer</v>
                </pt>
              </strCache>
            </strRef>
          </cat>
          <val>
            <numRef>
              <f>Resources!$E$2:$E$6</f>
              <numCache>
                <formatCode>General</formatCode>
                <ptCount val="5"/>
                <pt idx="0">
                  <v>0</v>
                </pt>
                <pt idx="1">
                  <v>2</v>
                </pt>
                <pt idx="2">
                  <v>2</v>
                </pt>
                <pt idx="3">
                  <v>0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468879135"/>
        <axId val="2053704127"/>
      </barChart>
      <catAx>
        <axId val="468879135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53704127"/>
        <crosses val="autoZero"/>
        <auto val="1"/>
        <lblAlgn val="ctr"/>
        <lblOffset val="100"/>
        <noMultiLvlLbl val="0"/>
      </catAx>
      <valAx>
        <axId val="2053704127"/>
        <scaling>
          <orientation val="minMax"/>
        </scaling>
        <delete val="1"/>
        <axPos val="b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crossAx val="468879135"/>
        <crosses val="autoZero"/>
        <crossBetween val="between"/>
      </valAx>
    </plotArea>
    <legend>
      <legendPos val="b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Project Billing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'Project Estimates'!$K$1</f>
              <strCache>
                <ptCount val="1"/>
                <pt idx="0">
                  <v>Billing($)</v>
                </pt>
              </strCache>
            </strRef>
          </tx>
          <spPr>
            <a:ln w="31750" cap="rnd">
              <a:solidFill>
                <a:schemeClr val="accent1">
                  <a:alpha val="8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Estimates'!$M$2:$M$18</f>
              <numCache>
                <formatCode>General</formatCode>
                <ptCount val="17"/>
                <pt idx="0">
                  <v>480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'Project Estimates'!$M$1</f>
              <strCache>
                <ptCount val="1"/>
                <pt idx="0">
                  <v>Actual Cost($)</v>
                </pt>
              </strCache>
            </strRef>
          </tx>
          <spPr>
            <a:ln w="31750" cap="rnd">
              <a:solidFill>
                <a:schemeClr val="accent2">
                  <a:alpha val="8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Estimates'!$M$2:$M$18</f>
              <numCache>
                <formatCode>General</formatCode>
                <ptCount val="17"/>
                <pt idx="0">
                  <v>480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smooth val="0"/>
        <axId val="460376863"/>
        <axId val="468323055"/>
      </lineChart>
      <catAx>
        <axId val="4603768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8323055"/>
        <crosses val="autoZero"/>
        <auto val="1"/>
        <lblAlgn val="ctr"/>
        <lblOffset val="100"/>
        <noMultiLvlLbl val="0"/>
      </catAx>
      <valAx>
        <axId val="468323055"/>
        <scaling>
          <orientation val="minMax"/>
        </scaling>
        <delete val="1"/>
        <axPos val="l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crossAx val="460376863"/>
        <crosses val="autoZero"/>
        <crossBetween val="between"/>
      </valAx>
    </plotArea>
    <legend>
      <legendPos val="b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128587</colOff>
      <row>6</row>
      <rowOff>2856</rowOff>
    </from>
    <to>
      <col>1</col>
      <colOff>2928937</colOff>
      <row>28</row>
      <rowOff>106680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3033712</colOff>
      <row>5</row>
      <rowOff>167640</rowOff>
    </from>
    <to>
      <col>1</col>
      <colOff>7605712</colOff>
      <row>28</row>
      <rowOff>106679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116205</colOff>
      <row>29</row>
      <rowOff>37146</rowOff>
    </from>
    <to>
      <col>1</col>
      <colOff>2916555</colOff>
      <row>51</row>
      <rowOff>114300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</col>
      <colOff>3033712</colOff>
      <row>29</row>
      <rowOff>29526</rowOff>
    </from>
    <to>
      <col>1</col>
      <colOff>7605712</colOff>
      <row>51</row>
      <rowOff>99060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tabSelected="0" zoomScaleNormal="80" zoomScaleSheetLayoutView="100" workbookViewId="0">
      <selection activeCell="K27" sqref="K27"/>
    </sheetView>
  </sheetViews>
  <sheetFormatPr baseColWidth="10" defaultColWidth="8.83203125" defaultRowHeight="15"/>
  <cols>
    <col width="27.1640625" customWidth="1" style="3" min="1" max="1"/>
    <col width="115.5" customWidth="1" style="3" min="2" max="2"/>
    <col width="11.5" customWidth="1" style="22" min="3" max="3"/>
  </cols>
  <sheetData>
    <row r="1" ht="51.5" customHeight="1" s="22">
      <c r="A1" s="15" t="n"/>
      <c r="B1" s="21" t="inlineStr">
        <is>
          <t>Project Overview</t>
        </is>
      </c>
    </row>
    <row r="2" ht="16" customHeight="1" s="22">
      <c r="A2" s="28" t="inlineStr">
        <is>
          <t>Project Name</t>
        </is>
      </c>
      <c r="B2" s="33" t="inlineStr">
        <is>
          <t>Sistema de Gestion de Pedidos y Clientes (doc.md)</t>
        </is>
      </c>
    </row>
    <row r="3" ht="16" customHeight="1" s="22">
      <c r="A3" s="28" t="inlineStr">
        <is>
          <t>Work order</t>
        </is>
      </c>
      <c r="B3" s="33" t="inlineStr">
        <is>
          <t>EXP-2026-CAS-01</t>
        </is>
      </c>
    </row>
    <row r="4" ht="17" customHeight="1" s="22">
      <c r="A4" s="28" t="inlineStr">
        <is>
          <t>Client</t>
        </is>
      </c>
      <c r="B4" s="34" t="inlineStr">
        <is>
          <t>UNSA - Calidad de Software</t>
        </is>
      </c>
    </row>
    <row r="5" ht="16" customHeight="1" s="22">
      <c r="A5" s="28" t="inlineStr">
        <is>
          <t>Start Date</t>
        </is>
      </c>
      <c r="B5" s="35" t="inlineStr">
        <is>
          <t>28/09/2026</t>
        </is>
      </c>
    </row>
    <row r="6">
      <c r="B6" s="3" t="inlineStr">
        <is>
          <t> 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tabSelected="1" topLeftCell="A1" zoomScale="115" zoomScaleNormal="115" zoomScaleSheetLayoutView="100" workbookViewId="0">
      <selection activeCell="M2" sqref="M2"/>
    </sheetView>
  </sheetViews>
  <sheetFormatPr baseColWidth="10" defaultColWidth="9.1640625" defaultRowHeight="15"/>
  <cols>
    <col width="10" customWidth="1" style="45" min="1" max="1"/>
    <col width="25" customWidth="1" style="9" min="2" max="2"/>
    <col width="34" customWidth="1" style="42" min="3" max="3"/>
    <col width="10" customWidth="1" style="43" min="4" max="4"/>
    <col width="10" customWidth="1" style="43" min="5" max="5"/>
    <col width="10" customWidth="1" style="43" min="6" max="6"/>
    <col width="10" customWidth="1" style="43" min="7" max="7"/>
    <col width="11" customWidth="1" style="31" min="8" max="8"/>
    <col width="11" customWidth="1" style="32" min="9" max="9"/>
    <col width="17.5" customWidth="1" style="32" min="10" max="11"/>
    <col width="16.6640625" customWidth="1" style="31" min="12" max="12"/>
    <col width="13.5" customWidth="1" style="32" min="13" max="13"/>
    <col width="9.1640625" customWidth="1" style="45" min="14" max="16384"/>
  </cols>
  <sheetData>
    <row r="1" ht="28.5" customFormat="1" customHeight="1" s="45">
      <c r="A1" s="30" t="inlineStr">
        <is>
          <t>PMID</t>
        </is>
      </c>
      <c r="B1" s="44" t="inlineStr">
        <is>
          <t>Defined Goals/Project Milestones</t>
        </is>
      </c>
      <c r="C1" s="36" t="inlineStr">
        <is>
          <t>User Story</t>
        </is>
      </c>
      <c r="D1" s="37" t="inlineStr">
        <is>
          <t>Total Count</t>
        </is>
      </c>
      <c r="E1" s="37" t="inlineStr">
        <is>
          <t>Optimistic</t>
        </is>
      </c>
      <c r="F1" s="37" t="inlineStr">
        <is>
          <t>Most Likely</t>
        </is>
      </c>
      <c r="G1" s="37" t="inlineStr">
        <is>
          <t>Pessimistic</t>
        </is>
      </c>
      <c r="H1" s="29" t="inlineStr">
        <is>
          <t>Man Days</t>
        </is>
      </c>
      <c r="I1" s="30" t="inlineStr">
        <is>
          <t>Man hours</t>
        </is>
      </c>
      <c r="J1" s="30" t="inlineStr">
        <is>
          <t>Completed Tasks</t>
        </is>
      </c>
      <c r="K1" s="30" t="inlineStr">
        <is>
          <t>Billing($)</t>
        </is>
      </c>
      <c r="L1" s="29" t="inlineStr">
        <is>
          <t>Mandays per task</t>
        </is>
      </c>
      <c r="M1" s="30" t="inlineStr">
        <is>
          <t>Actual Cost($)</t>
        </is>
      </c>
    </row>
    <row r="2" ht="28.75" customFormat="1" customHeight="1" s="18">
      <c r="A2" s="18" t="inlineStr">
        <is>
          <t>PMID001</t>
        </is>
      </c>
      <c r="B2" s="46" t="inlineStr">
        <is>
          <t>Registro y administracion de clientes</t>
        </is>
      </c>
      <c r="C2" s="47" t="inlineStr">
        <is>
          <t>Como administrador requiero registrar y actualizar datos de clientes naturales y juridicos.</t>
        </is>
      </c>
      <c r="D2" s="39" t="n">
        <v>1</v>
      </c>
      <c r="E2" s="48" t="n">
        <v>6</v>
      </c>
      <c r="F2" s="48" t="n">
        <v>10</v>
      </c>
      <c r="G2" s="48" t="n">
        <v>16</v>
      </c>
      <c r="H2" s="31">
        <f>(E2+4*F2+G2)/6</f>
        <v/>
      </c>
      <c r="I2" s="31">
        <f>H2*8</f>
        <v/>
      </c>
      <c r="J2" s="32" t="n"/>
      <c r="K2" s="32" t="n"/>
      <c r="L2" s="31" t="n"/>
      <c r="M2" s="32" t="n"/>
    </row>
    <row r="3" ht="36" customFormat="1" customHeight="1" s="45">
      <c r="A3" s="45" t="inlineStr">
        <is>
          <t>PMID002</t>
        </is>
      </c>
      <c r="B3" s="46" t="inlineStr">
        <is>
          <t>Gestion de cuentas comerciales</t>
        </is>
      </c>
      <c r="C3" s="49" t="inlineStr">
        <is>
          <t>Como administrador requiero aperturar y configurar lineas de cuenta comercial para facturacion.</t>
        </is>
      </c>
      <c r="D3" s="39" t="n">
        <v>1</v>
      </c>
      <c r="E3" s="48" t="n">
        <v>5</v>
      </c>
      <c r="F3" s="50" t="n">
        <v>9</v>
      </c>
      <c r="G3" s="48" t="n">
        <v>15</v>
      </c>
      <c r="H3" s="31">
        <f>(E3+4*F3+G3)/6</f>
        <v/>
      </c>
      <c r="I3" s="31">
        <f>H3*8</f>
        <v/>
      </c>
      <c r="J3" s="32" t="n"/>
      <c r="K3" s="32" t="n"/>
      <c r="L3" s="31" t="n"/>
      <c r="M3" s="32" t="n"/>
    </row>
    <row r="4" ht="28.75" customFormat="1" customHeight="1" s="45">
      <c r="A4" s="18" t="inlineStr">
        <is>
          <t>PMID003</t>
        </is>
      </c>
      <c r="B4" s="46" t="inlineStr">
        <is>
          <t>Catalogo maestro de productos</t>
        </is>
      </c>
      <c r="C4" s="49" t="inlineStr">
        <is>
          <t>Como gestor comercial requiero administrar el catalogo de productos, precios y categorias.</t>
        </is>
      </c>
      <c r="D4" s="39" t="n">
        <v>1</v>
      </c>
      <c r="E4" s="50" t="n">
        <v>6</v>
      </c>
      <c r="F4" s="50" t="n">
        <v>10</v>
      </c>
      <c r="G4" s="50" t="n">
        <v>18</v>
      </c>
      <c r="H4" s="31">
        <f>(E4+4*F4+G4)/6</f>
        <v/>
      </c>
      <c r="I4" s="31">
        <f>H4*8</f>
        <v/>
      </c>
      <c r="J4" s="32" t="n"/>
      <c r="K4" s="32" t="n"/>
      <c r="L4" s="31" t="n"/>
      <c r="M4" s="32" t="n"/>
    </row>
    <row r="5" ht="28.75" customFormat="1" customHeight="1" s="45">
      <c r="A5" s="18" t="inlineStr">
        <is>
          <t>PMID004</t>
        </is>
      </c>
      <c r="B5" s="46" t="inlineStr">
        <is>
          <t>Registro de pedidos simples</t>
        </is>
      </c>
      <c r="C5" s="49" t="inlineStr">
        <is>
          <t>Como cliente/vendedor requiero registrar ordenes de pedido individuales con calculo de impuestos.</t>
        </is>
      </c>
      <c r="D5" s="39" t="n">
        <v>1</v>
      </c>
      <c r="E5" s="50" t="n">
        <v>7</v>
      </c>
      <c r="F5" s="50" t="n">
        <v>12</v>
      </c>
      <c r="G5" s="50" t="n">
        <v>20</v>
      </c>
      <c r="H5" s="31">
        <f>(E5+4*F5+G5)/6</f>
        <v/>
      </c>
      <c r="I5" s="31">
        <f>H5*8</f>
        <v/>
      </c>
      <c r="J5" s="32" t="n"/>
      <c r="K5" s="32" t="n"/>
      <c r="L5" s="31" t="n"/>
      <c r="M5" s="32" t="n"/>
    </row>
    <row r="6" ht="28.75" customFormat="1" customHeight="1" s="45">
      <c r="A6" s="45" t="inlineStr">
        <is>
          <t>PMID005</t>
        </is>
      </c>
      <c r="B6" s="46" t="inlineStr">
        <is>
          <t>Composicion de pedidos compuestos</t>
        </is>
      </c>
      <c r="C6" s="49" t="inlineStr">
        <is>
          <t>Como usuario requiero agrupar pedidos multinivel con reglas de consolidacion de entrega.</t>
        </is>
      </c>
      <c r="D6" s="39" t="n">
        <v>1</v>
      </c>
      <c r="E6" s="50" t="n">
        <v>8</v>
      </c>
      <c r="F6" s="50" t="n">
        <v>14</v>
      </c>
      <c r="G6" s="50" t="n">
        <v>22</v>
      </c>
      <c r="H6" s="31">
        <f>(E6+4*F6+G6)/6</f>
        <v/>
      </c>
      <c r="I6" s="31">
        <f>H6*8</f>
        <v/>
      </c>
      <c r="J6" s="32" t="n"/>
      <c r="K6" s="32" t="n"/>
      <c r="L6" s="31" t="n"/>
      <c r="M6" s="32" t="n"/>
    </row>
    <row r="7" ht="28.75" customFormat="1" customHeight="1" s="45">
      <c r="A7" s="18" t="inlineStr">
        <is>
          <t>PMID006</t>
        </is>
      </c>
      <c r="B7" s="46" t="inlineStr">
        <is>
          <t>Validacion de credito e inventario</t>
        </is>
      </c>
      <c r="C7" s="49" t="inlineStr">
        <is>
          <t>Como sistema requiero verificar limites crediticios y disponibilidad de stock en tiempo real.</t>
        </is>
      </c>
      <c r="D7" s="39" t="n">
        <v>1</v>
      </c>
      <c r="E7" s="50" t="n">
        <v>6</v>
      </c>
      <c r="F7" s="50" t="n">
        <v>11</v>
      </c>
      <c r="G7" s="50" t="n">
        <v>18</v>
      </c>
      <c r="H7" s="31">
        <f>(E7+4*F7+G7)/6</f>
        <v/>
      </c>
      <c r="I7" s="31">
        <f>H7*8</f>
        <v/>
      </c>
      <c r="J7" s="32" t="n"/>
      <c r="K7" s="32" t="n"/>
      <c r="L7" s="31" t="n"/>
      <c r="M7" s="32" t="n"/>
    </row>
    <row r="8" ht="34.25" customFormat="1" customHeight="1" s="45">
      <c r="A8" s="18" t="inlineStr">
        <is>
          <t>PMID007</t>
        </is>
      </c>
      <c r="B8" s="46" t="inlineStr">
        <is>
          <t>Modulo de cobro y pasarela de pago</t>
        </is>
      </c>
      <c r="C8" s="49" t="inlineStr">
        <is>
          <t>Como cliente requiero ejecutar cobros automaticos con tarjetas y transferencias integradas.</t>
        </is>
      </c>
      <c r="D8" s="39" t="n">
        <v>1</v>
      </c>
      <c r="E8" s="50" t="n">
        <v>8</v>
      </c>
      <c r="F8" s="50" t="n">
        <v>13</v>
      </c>
      <c r="G8" s="50" t="n">
        <v>21</v>
      </c>
      <c r="H8" s="31">
        <f>(E8+4*F8+G8)/6</f>
        <v/>
      </c>
      <c r="I8" s="31">
        <f>H8*8</f>
        <v/>
      </c>
      <c r="J8" s="32" t="n"/>
      <c r="K8" s="32" t="n"/>
      <c r="L8" s="31" t="n"/>
      <c r="M8" s="32" t="n"/>
    </row>
    <row r="9" ht="48" customFormat="1" customHeight="1" s="45">
      <c r="A9" s="18" t="inlineStr">
        <is>
          <t>PMID008</t>
        </is>
      </c>
      <c r="B9" s="46" t="inlineStr">
        <is>
          <t>Emision de comprobantes electronicos</t>
        </is>
      </c>
      <c r="C9" s="49" t="inlineStr">
        <is>
          <t>Como sistema requiero emitir y timbrar facturas y boletas electronicas validadas por SUNAT.</t>
        </is>
      </c>
      <c r="D9" s="39" t="n">
        <v>1</v>
      </c>
      <c r="E9" s="50" t="n">
        <v>6</v>
      </c>
      <c r="F9" s="50" t="n">
        <v>10</v>
      </c>
      <c r="G9" s="50" t="n">
        <v>16</v>
      </c>
      <c r="H9" s="31">
        <f>(E9+4*F9+G9)/6</f>
        <v/>
      </c>
      <c r="I9" s="31">
        <f>H9*8</f>
        <v/>
      </c>
      <c r="J9" s="32" t="n"/>
      <c r="K9" s="32" t="n"/>
      <c r="L9" s="31" t="n"/>
      <c r="M9" s="32" t="n"/>
    </row>
    <row r="10" ht="62.5" customFormat="1" customHeight="1" s="45">
      <c r="A10" s="18" t="inlineStr">
        <is>
          <t>PMID009</t>
        </is>
      </c>
      <c r="B10" s="46" t="inlineStr">
        <is>
          <t>Despacho y seguimiento logistico</t>
        </is>
      </c>
      <c r="C10" s="49" t="inlineStr">
        <is>
          <t>Como despachador requiero programar la guia de remision y actualizar estado de envio.</t>
        </is>
      </c>
      <c r="D10" s="39" t="n">
        <v>1</v>
      </c>
      <c r="E10" s="50" t="n">
        <v>5</v>
      </c>
      <c r="F10" s="50" t="n">
        <v>9</v>
      </c>
      <c r="G10" s="50" t="n">
        <v>15</v>
      </c>
      <c r="H10" s="31">
        <f>(E10+4*F10+G10)/6</f>
        <v/>
      </c>
      <c r="I10" s="31">
        <f>H10*8</f>
        <v/>
      </c>
      <c r="J10" s="32" t="n"/>
      <c r="K10" s="32" t="n"/>
      <c r="L10" s="31" t="n"/>
      <c r="M10" s="32" t="n"/>
    </row>
    <row r="11" ht="28.75" customFormat="1" customHeight="1" s="45">
      <c r="A11" s="18" t="inlineStr">
        <is>
          <t>PMID010</t>
        </is>
      </c>
      <c r="B11" s="46" t="inlineStr">
        <is>
          <t>Reportes y auditoria comercial</t>
        </is>
      </c>
      <c r="C11" s="49" t="inlineStr">
        <is>
          <t>Como supervisor requiero emitir reportes consolidados de cuentas por cobrar y balance.</t>
        </is>
      </c>
      <c r="D11" s="39" t="n">
        <v>1</v>
      </c>
      <c r="E11" s="50" t="n">
        <v>6</v>
      </c>
      <c r="F11" s="50" t="n">
        <v>11</v>
      </c>
      <c r="G11" s="50" t="n">
        <v>17</v>
      </c>
      <c r="H11" s="31">
        <f>(E11+4*F11+G11)/6</f>
        <v/>
      </c>
      <c r="I11" s="31">
        <f>H11*8</f>
        <v/>
      </c>
      <c r="J11" s="32" t="n"/>
      <c r="K11" s="32" t="n"/>
      <c r="L11" s="31" t="n"/>
      <c r="M11" s="32" t="n"/>
    </row>
    <row r="12" ht="28.75" customFormat="1" customHeight="1" s="45">
      <c r="A12" s="18" t="n"/>
      <c r="B12" s="51" t="inlineStr">
        <is>
          <t>Total Esfuerzo Estimado (Man-Days)</t>
        </is>
      </c>
      <c r="C12" s="42" t="n"/>
      <c r="D12" s="39" t="n"/>
      <c r="E12" s="43" t="n"/>
      <c r="F12" s="43" t="n"/>
      <c r="G12" s="43" t="n"/>
      <c r="H12" s="52">
        <f>SUM(H2:H11)</f>
        <v/>
      </c>
      <c r="I12" s="53">
        <f>SUM(I2:I11)</f>
        <v/>
      </c>
      <c r="J12" s="32" t="n"/>
      <c r="K12" s="32" t="n"/>
      <c r="L12" s="31" t="n"/>
      <c r="M12" s="32" t="n"/>
    </row>
    <row r="13" ht="28.75" customHeight="1" s="22">
      <c r="A13" s="18" t="n"/>
      <c r="B13" s="19" t="n"/>
      <c r="C13" s="42" t="n"/>
      <c r="D13" s="39" t="n"/>
      <c r="E13" s="43" t="n"/>
      <c r="F13" s="43" t="n"/>
      <c r="G13" s="43" t="n"/>
      <c r="H13" s="31" t="n"/>
      <c r="I13" s="32" t="n"/>
      <c r="J13" s="32" t="n"/>
      <c r="K13" s="32" t="n"/>
      <c r="L13" s="31" t="n"/>
      <c r="M13" s="32" t="n"/>
    </row>
    <row r="14" ht="28.75" customHeight="1" s="22">
      <c r="A14" s="18" t="n"/>
      <c r="B14" s="19" t="n"/>
      <c r="C14" s="42" t="n"/>
      <c r="D14" s="39" t="n"/>
      <c r="E14" s="43" t="n"/>
      <c r="F14" s="43" t="n"/>
      <c r="G14" s="43" t="n"/>
      <c r="H14" s="31" t="n"/>
      <c r="I14" s="32" t="n"/>
      <c r="J14" s="32" t="n"/>
      <c r="K14" s="32" t="n"/>
      <c r="L14" s="31" t="n"/>
      <c r="M14" s="32" t="n"/>
    </row>
    <row r="15" ht="28.75" customHeight="1" s="22">
      <c r="A15" s="18" t="n"/>
      <c r="B15" s="19" t="n"/>
      <c r="C15" s="42" t="n"/>
      <c r="D15" s="39" t="n"/>
      <c r="E15" s="43" t="n"/>
      <c r="F15" s="43" t="n"/>
      <c r="G15" s="43" t="n"/>
      <c r="H15" s="31" t="n"/>
      <c r="I15" s="32" t="n"/>
      <c r="J15" s="32" t="n"/>
      <c r="K15" s="32" t="n"/>
      <c r="L15" s="31" t="n"/>
      <c r="M15" s="32" t="n"/>
    </row>
    <row r="16" ht="28.75" customHeight="1" s="22">
      <c r="A16" s="18" t="n"/>
      <c r="B16" s="19" t="n"/>
      <c r="C16" s="42" t="n"/>
      <c r="D16" s="39" t="n"/>
      <c r="E16" s="43" t="n"/>
      <c r="F16" s="43" t="n"/>
      <c r="G16" s="43" t="n"/>
      <c r="H16" s="31" t="n"/>
      <c r="I16" s="32" t="n"/>
      <c r="J16" s="32" t="n"/>
      <c r="K16" s="32" t="n"/>
      <c r="L16" s="31" t="n"/>
      <c r="M16" s="32" t="n"/>
    </row>
    <row r="17" ht="28.75" customHeight="1" s="22">
      <c r="A17" s="18" t="n"/>
      <c r="B17" s="19" t="n"/>
      <c r="C17" s="42" t="n"/>
      <c r="D17" s="39" t="n"/>
      <c r="E17" s="43" t="n"/>
      <c r="F17" s="43" t="n"/>
      <c r="G17" s="43" t="n"/>
      <c r="H17" s="31" t="n"/>
      <c r="I17" s="32" t="n"/>
      <c r="J17" s="32" t="n"/>
      <c r="K17" s="32" t="n"/>
      <c r="L17" s="31" t="n"/>
      <c r="M17" s="32" t="n"/>
    </row>
    <row r="18">
      <c r="B18" s="19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FD202"/>
  <sheetViews>
    <sheetView tabSelected="0" zoomScaleNormal="100" zoomScaleSheetLayoutView="100" workbookViewId="0">
      <selection activeCell="G4" sqref="G4"/>
    </sheetView>
  </sheetViews>
  <sheetFormatPr baseColWidth="10" defaultColWidth="8.83203125" defaultRowHeight="15"/>
  <cols>
    <col width="11" customWidth="1" style="5" min="1" max="1"/>
    <col width="79.83203125" customWidth="1" style="10" min="4" max="4"/>
    <col width="10" customWidth="1" style="26" min="5" max="5"/>
    <col width="13.1640625" customWidth="1" style="6" min="6" max="6"/>
    <col width="13.5" customWidth="1" style="7" min="7" max="7"/>
    <col width="14.83203125" customWidth="1" style="45" min="8" max="8"/>
    <col width="14.83203125" customWidth="1" style="6" min="9" max="9"/>
    <col width="19.5" customWidth="1" style="45" min="10" max="10"/>
    <col width="16.1640625" customWidth="1" style="22" min="11" max="11"/>
    <col width="14.33203125" customWidth="1" style="22" min="12" max="12"/>
  </cols>
  <sheetData>
    <row r="1" ht="29.25" customFormat="1" customHeight="1" s="2">
      <c r="A1" s="13" t="inlineStr">
        <is>
          <t>PMID</t>
        </is>
      </c>
      <c r="B1" s="13" t="inlineStr">
        <is>
          <t>Sprint</t>
        </is>
      </c>
      <c r="C1" s="13" t="inlineStr">
        <is>
          <t>Task Id</t>
        </is>
      </c>
      <c r="D1" s="13" t="inlineStr">
        <is>
          <t>Task Description</t>
        </is>
      </c>
      <c r="E1" s="13" t="inlineStr">
        <is>
          <t>Units Assigned</t>
        </is>
      </c>
      <c r="F1" s="14" t="inlineStr">
        <is>
          <t>Start Date</t>
        </is>
      </c>
      <c r="G1" s="14" t="inlineStr">
        <is>
          <t>Duration</t>
        </is>
      </c>
      <c r="H1" s="13" t="inlineStr">
        <is>
          <t>Status</t>
        </is>
      </c>
      <c r="I1" s="14" t="inlineStr">
        <is>
          <t>Completed Date</t>
        </is>
      </c>
      <c r="J1" s="13" t="inlineStr">
        <is>
          <t>Job Assignment</t>
        </is>
      </c>
    </row>
    <row r="2" ht="18" customFormat="1" customHeight="1" s="27">
      <c r="A2" s="27" t="inlineStr">
        <is>
          <t>Sprint 1 (22-03-2021)</t>
        </is>
      </c>
    </row>
    <row r="3" ht="16" customHeight="1" s="22">
      <c r="A3" s="45" t="inlineStr">
        <is>
          <t>PMID001</t>
        </is>
      </c>
      <c r="B3" s="45" t="n"/>
      <c r="C3" s="45" t="inlineStr">
        <is>
          <t>T1001</t>
        </is>
      </c>
      <c r="D3" s="10" t="inlineStr">
        <is>
          <t>Diseno de modelo relacional para clientes naturales y juridicos</t>
        </is>
      </c>
      <c r="E3" s="45" t="n">
        <v>1</v>
      </c>
      <c r="F3" s="6" t="n">
        <v>44594</v>
      </c>
      <c r="G3" s="31">
        <f>IF(I3-F3&gt;0, I3-F3, "")</f>
        <v/>
      </c>
      <c r="H3" s="45" t="inlineStr">
        <is>
          <t>COMPLETED</t>
        </is>
      </c>
      <c r="I3" s="6" t="n">
        <v>44595</v>
      </c>
      <c r="J3" s="45" t="inlineStr">
        <is>
          <t>Senior Java Developer</t>
        </is>
      </c>
    </row>
    <row r="4" ht="32" customHeight="1" s="22">
      <c r="A4" s="45" t="inlineStr">
        <is>
          <t>PMID001</t>
        </is>
      </c>
      <c r="B4" s="45" t="n"/>
      <c r="C4" s="45" t="inlineStr">
        <is>
          <t>T1002</t>
        </is>
      </c>
      <c r="D4" s="10" t="inlineStr">
        <is>
          <t>API REST de registro, validacion de RUC/DNI y actualizacion</t>
        </is>
      </c>
      <c r="E4" s="45" t="n">
        <v>1</v>
      </c>
      <c r="F4" s="6" t="n">
        <v>44594</v>
      </c>
      <c r="G4" s="31">
        <f>IF(I4-F4&gt;0, I4-F4, "")</f>
        <v/>
      </c>
      <c r="H4" s="45" t="inlineStr">
        <is>
          <t>COMPLETED</t>
        </is>
      </c>
      <c r="I4" s="6" t="n">
        <v>44595</v>
      </c>
      <c r="J4" s="45" t="inlineStr">
        <is>
          <t>Senior Java Developer</t>
        </is>
      </c>
    </row>
    <row r="5" ht="32" customHeight="1" s="22">
      <c r="A5" s="45" t="inlineStr">
        <is>
          <t>PMID001</t>
        </is>
      </c>
      <c r="B5" s="45" t="n"/>
      <c r="C5" s="45" t="inlineStr">
        <is>
          <t>T1003</t>
        </is>
      </c>
      <c r="D5" s="10" t="inlineStr">
        <is>
          <t>Interfaz de usuario para gestion y busqueda de clientes</t>
        </is>
      </c>
      <c r="E5" s="45" t="n">
        <v>1</v>
      </c>
      <c r="F5" s="6" t="n">
        <v>44596</v>
      </c>
      <c r="G5" s="31">
        <f>IF(I5-F5&gt;0, I5-F5, "")</f>
        <v/>
      </c>
      <c r="H5" s="45" t="n"/>
      <c r="J5" s="45" t="inlineStr">
        <is>
          <t>Frontend Developer</t>
        </is>
      </c>
    </row>
    <row r="6" ht="16" customHeight="1" s="22">
      <c r="A6" s="45" t="inlineStr">
        <is>
          <t>PMID001</t>
        </is>
      </c>
      <c r="C6" s="45" t="inlineStr">
        <is>
          <t>T1004</t>
        </is>
      </c>
      <c r="D6" s="10" t="inlineStr">
        <is>
          <t>Validacion de reglas de negocio y duplicidad de registros</t>
        </is>
      </c>
      <c r="E6" s="45" t="n">
        <v>1</v>
      </c>
      <c r="G6" s="31">
        <f>IF(I6-F6&gt;0, I6-F6, "")</f>
        <v/>
      </c>
      <c r="H6" s="45" t="n"/>
      <c r="J6" s="45" t="inlineStr">
        <is>
          <t>Frontend Developer</t>
        </is>
      </c>
    </row>
    <row r="7" ht="18" customFormat="1" customHeight="1" s="27">
      <c r="A7" s="27" t="inlineStr">
        <is>
          <t>Sprint 2</t>
        </is>
      </c>
    </row>
    <row r="8" ht="16" customHeight="1" s="22">
      <c r="A8" s="45" t="inlineStr">
        <is>
          <t>PMID002</t>
        </is>
      </c>
      <c r="C8" s="45" t="inlineStr">
        <is>
          <t>T1005</t>
        </is>
      </c>
      <c r="D8" s="10" t="inlineStr">
        <is>
          <t>Configuracion de lineas de credito comercial y cuentas</t>
        </is>
      </c>
      <c r="E8" s="45" t="n">
        <v>1</v>
      </c>
      <c r="G8" s="31">
        <f>IF(I8-F8&gt;0, I8-F8, "")</f>
        <v/>
      </c>
      <c r="H8" s="45" t="n"/>
    </row>
    <row r="9" ht="16" customHeight="1" s="22">
      <c r="A9" s="45" t="inlineStr">
        <is>
          <t>PMID002</t>
        </is>
      </c>
      <c r="C9" s="45" t="inlineStr">
        <is>
          <t>T1006</t>
        </is>
      </c>
      <c r="D9" s="10" t="inlineStr">
        <is>
          <t>Modulo de administracion de cuentas por cobrar y pagar</t>
        </is>
      </c>
      <c r="E9" s="45" t="n">
        <v>1</v>
      </c>
      <c r="G9" s="31">
        <f>IF(I9-F9&gt;0, I9-F9, "")</f>
        <v/>
      </c>
      <c r="H9" s="45" t="n"/>
    </row>
    <row r="10" ht="18" customFormat="1" customHeight="1" s="27">
      <c r="A10" s="27" t="inlineStr">
        <is>
          <t>Sprint 3</t>
        </is>
      </c>
    </row>
    <row r="11" ht="16" customHeight="1" s="22">
      <c r="A11" s="45" t="inlineStr">
        <is>
          <t>PMID003</t>
        </is>
      </c>
      <c r="C11" s="45" t="inlineStr">
        <is>
          <t>T1007</t>
        </is>
      </c>
      <c r="D11" s="10" t="inlineStr">
        <is>
          <t>Catalogo maestro de productos, precios y categorias</t>
        </is>
      </c>
      <c r="E11" s="45" t="n">
        <v>1</v>
      </c>
      <c r="G11" s="31">
        <f>IF(I11-F11&gt;0, I11-F11, "")</f>
        <v/>
      </c>
      <c r="H11" s="45" t="n"/>
    </row>
    <row r="12" ht="32" customHeight="1" s="22">
      <c r="A12" s="45" t="inlineStr">
        <is>
          <t>PMID003</t>
        </is>
      </c>
      <c r="C12" s="45" t="inlineStr">
        <is>
          <t>T1008</t>
        </is>
      </c>
      <c r="D12" s="10" t="inlineStr">
        <is>
          <t>Servicio de control de inventario y stock en tiempo real</t>
        </is>
      </c>
      <c r="E12" s="45" t="n">
        <v>1</v>
      </c>
      <c r="G12" s="31">
        <f>IF(I12-F12&gt;0, I12-F12, "")</f>
        <v/>
      </c>
      <c r="H12" s="45" t="n"/>
    </row>
    <row r="13" ht="16" customHeight="1" s="22">
      <c r="A13" s="45" t="inlineStr">
        <is>
          <t>PMID003</t>
        </is>
      </c>
      <c r="C13" s="45" t="inlineStr">
        <is>
          <t>T1009</t>
        </is>
      </c>
      <c r="D13" s="10" t="inlineStr">
        <is>
          <t>Interfaz de busqueda y navegacion de productos</t>
        </is>
      </c>
      <c r="E13" s="45" t="n">
        <v>1</v>
      </c>
      <c r="G13" s="31">
        <f>IF(I13-F13&gt;0, I13-F13, "")</f>
        <v/>
      </c>
      <c r="H13" s="45" t="n"/>
    </row>
    <row r="14" ht="16" customHeight="1" s="22">
      <c r="A14" s="45" t="inlineStr">
        <is>
          <t>PMID003</t>
        </is>
      </c>
      <c r="C14" s="45" t="inlineStr">
        <is>
          <t>T1010</t>
        </is>
      </c>
      <c r="D14" s="10" t="inlineStr">
        <is>
          <t>Control de lotes, almacenes y listas de precios</t>
        </is>
      </c>
      <c r="E14" s="45" t="n">
        <v>1</v>
      </c>
      <c r="G14" s="31">
        <f>IF(I14-F14&gt;0, I14-F14, "")</f>
        <v/>
      </c>
      <c r="H14" s="45" t="n"/>
    </row>
    <row r="15" ht="18" customFormat="1" customHeight="1" s="27">
      <c r="A15" s="27" t="inlineStr">
        <is>
          <t xml:space="preserve">Sprint 4 </t>
        </is>
      </c>
    </row>
    <row r="16" ht="16" customHeight="1" s="22">
      <c r="A16" s="45" t="inlineStr">
        <is>
          <t>PMID004</t>
        </is>
      </c>
      <c r="C16" s="45" t="inlineStr">
        <is>
          <t>T1011</t>
        </is>
      </c>
      <c r="D16" s="10" t="inlineStr">
        <is>
          <t>Create search API to search by neighbour hood (keyword match)</t>
        </is>
      </c>
      <c r="E16" s="45" t="n">
        <v>1</v>
      </c>
      <c r="G16" s="31">
        <f>IF(I16-F16&gt;0, I16-F16, "")</f>
        <v/>
      </c>
      <c r="H16" s="45" t="n"/>
    </row>
    <row r="17" ht="16" customHeight="1" s="22">
      <c r="A17" s="45" t="inlineStr">
        <is>
          <t>PMID004</t>
        </is>
      </c>
      <c r="C17" s="45" t="inlineStr">
        <is>
          <t>T1012</t>
        </is>
      </c>
      <c r="D17" s="10" t="inlineStr">
        <is>
          <t>Identify if neighbourhood or keyword search is suppored by MLS and integrate the same</t>
        </is>
      </c>
      <c r="E17" s="45" t="n">
        <v>1</v>
      </c>
      <c r="G17" s="31">
        <f>IF(I17-F17&gt;0, I17-F17, "")</f>
        <v/>
      </c>
      <c r="H17" s="45" t="n"/>
    </row>
    <row r="18" ht="16" customHeight="1" s="22">
      <c r="A18" s="45" t="inlineStr">
        <is>
          <t>PMID004</t>
        </is>
      </c>
      <c r="C18" s="45" t="inlineStr">
        <is>
          <t>T1013</t>
        </is>
      </c>
      <c r="D18" s="10" t="inlineStr">
        <is>
          <t>Update UI to allow new search by Neighbourhood (cosmetic chages to labels)</t>
        </is>
      </c>
      <c r="E18" s="45" t="n">
        <v>1</v>
      </c>
      <c r="G18" s="31">
        <f>IF(I18-F18&gt;0, I18-F18, "")</f>
        <v/>
      </c>
      <c r="H18" s="45" t="n"/>
    </row>
    <row r="19" ht="18" customFormat="1" customHeight="1" s="27">
      <c r="A19" s="27" t="inlineStr">
        <is>
          <t>Sprint 5</t>
        </is>
      </c>
    </row>
    <row r="20" ht="16" customHeight="1" s="22">
      <c r="A20" s="45" t="inlineStr">
        <is>
          <t>PMID005</t>
        </is>
      </c>
      <c r="C20" s="45" t="inlineStr">
        <is>
          <t>T1014</t>
        </is>
      </c>
      <c r="D20" s="10" t="inlineStr">
        <is>
          <t>Map view to include integration with street view on property popup or street view marker in popup.</t>
        </is>
      </c>
      <c r="E20" s="45" t="n">
        <v>1</v>
      </c>
      <c r="G20" s="31">
        <f>IF(I20-F20&gt;0, I20-F20, "")</f>
        <v/>
      </c>
      <c r="H20" s="45" t="n"/>
    </row>
    <row r="21" ht="18" customFormat="1" customHeight="1" s="27">
      <c r="A21" s="27" t="inlineStr">
        <is>
          <t>Sprint 6</t>
        </is>
      </c>
    </row>
    <row r="22" ht="16" customHeight="1" s="22">
      <c r="A22" s="45" t="inlineStr">
        <is>
          <t>PMID006</t>
        </is>
      </c>
      <c r="C22" s="45" t="inlineStr">
        <is>
          <t>T1015</t>
        </is>
      </c>
      <c r="D22" s="10" t="inlineStr">
        <is>
          <t>In View Property Details add Header and scrollable content view</t>
        </is>
      </c>
      <c r="E22" s="26" t="n">
        <v>1</v>
      </c>
      <c r="G22" s="31">
        <f>IF(I22-F22&gt;0, I22-F22, "")</f>
        <v/>
      </c>
      <c r="H22" s="45" t="n"/>
    </row>
    <row r="23" ht="16" customHeight="1" s="22">
      <c r="A23" s="45" t="inlineStr">
        <is>
          <t>PMID006</t>
        </is>
      </c>
      <c r="C23" s="45" t="inlineStr">
        <is>
          <t>T1016</t>
        </is>
      </c>
      <c r="D23" s="10" t="inlineStr">
        <is>
          <t>In View Buyer Requirement Details add Header and scrollable content view</t>
        </is>
      </c>
      <c r="E23" s="26" t="n">
        <v>1</v>
      </c>
      <c r="G23" s="31">
        <f>IF(I23-F23&gt;0, I23-F23, "")</f>
        <v/>
      </c>
      <c r="H23" s="45" t="n"/>
    </row>
    <row r="24" ht="18" customFormat="1" customHeight="1" s="27">
      <c r="A24" s="27" t="inlineStr">
        <is>
          <t>Sprint 7</t>
        </is>
      </c>
    </row>
    <row r="25" ht="16" customHeight="1" s="22">
      <c r="A25" s="45" t="inlineStr">
        <is>
          <t>PMID007</t>
        </is>
      </c>
      <c r="C25" s="45" t="inlineStr">
        <is>
          <t>T1017</t>
        </is>
      </c>
      <c r="D25" s="10" t="inlineStr">
        <is>
          <t>Create  new right swipe gallery section in property details view</t>
        </is>
      </c>
      <c r="E25" s="26" t="n">
        <v>1</v>
      </c>
      <c r="G25" s="31">
        <f>IF(I25-F25&gt;0, I25-F25, "")</f>
        <v/>
      </c>
      <c r="H25" s="45" t="n"/>
    </row>
    <row r="26" ht="16" customHeight="1" s="22">
      <c r="A26" s="45" t="inlineStr">
        <is>
          <t>PMID007</t>
        </is>
      </c>
      <c r="C26" s="45" t="inlineStr">
        <is>
          <t>T1018</t>
        </is>
      </c>
      <c r="D26" s="10" t="inlineStr">
        <is>
          <t>Create a new gallery to show thumbnails of all photos with click to view option.</t>
        </is>
      </c>
      <c r="E26" s="26" t="n">
        <v>1</v>
      </c>
      <c r="G26" s="31">
        <f>IF(I26-F26&gt;0, I26-F26, "")</f>
        <v/>
      </c>
      <c r="H26" s="45" t="n"/>
    </row>
    <row r="27" ht="18" customFormat="1" customHeight="1" s="27">
      <c r="A27" s="27" t="inlineStr">
        <is>
          <t>Sprint 8</t>
        </is>
      </c>
    </row>
    <row r="28" ht="32" customHeight="1" s="22">
      <c r="A28" s="45" t="inlineStr">
        <is>
          <t>PMID008</t>
        </is>
      </c>
      <c r="C28" s="45" t="inlineStr">
        <is>
          <t>T1019</t>
        </is>
      </c>
      <c r="D28" s="10" t="inlineStr">
        <is>
          <t>Update property detail view descriptions with script to handle read more/read less based on content length</t>
        </is>
      </c>
      <c r="E28" s="26" t="n">
        <v>1</v>
      </c>
      <c r="G28" s="31">
        <f>IF(I28-F28&gt;0, I28-F28, "")</f>
        <v/>
      </c>
      <c r="H28" s="45" t="n"/>
    </row>
    <row r="29" ht="32" customHeight="1" s="22">
      <c r="A29" s="45" t="inlineStr">
        <is>
          <t>PMID008</t>
        </is>
      </c>
      <c r="C29" s="45" t="inlineStr">
        <is>
          <t>T1020</t>
        </is>
      </c>
      <c r="D29" s="10" t="inlineStr">
        <is>
          <t>Update buyer requirement view descriptonis with script to handle read more/read less based on content length</t>
        </is>
      </c>
      <c r="E29" s="26" t="n">
        <v>1</v>
      </c>
      <c r="G29" s="31">
        <f>IF(I29-F29&gt;0, I29-F29, "")</f>
        <v/>
      </c>
      <c r="H29" s="45" t="n"/>
    </row>
    <row r="30" ht="18" customFormat="1" customHeight="1" s="27">
      <c r="A30" s="27" t="inlineStr">
        <is>
          <t>Sprint 9</t>
        </is>
      </c>
    </row>
    <row r="31" ht="32" customHeight="1" s="22">
      <c r="A31" s="45" t="inlineStr">
        <is>
          <t>PMID009</t>
        </is>
      </c>
      <c r="C31" s="45" t="inlineStr">
        <is>
          <t>T1021</t>
        </is>
      </c>
      <c r="D31" s="10" t="inlineStr">
        <is>
          <t xml:space="preserve">Update map view with images of properties in the current view which can be swiped though the image area below the map </t>
        </is>
      </c>
      <c r="E31" s="26" t="n">
        <v>1</v>
      </c>
      <c r="G31" s="31">
        <f>IF(I31-F31&gt;0, I31-F31, "")</f>
        <v/>
      </c>
      <c r="H31" s="45" t="n"/>
    </row>
    <row r="32" ht="32" customHeight="1" s="22">
      <c r="A32" s="45" t="inlineStr">
        <is>
          <t>PMID009</t>
        </is>
      </c>
      <c r="C32" s="45" t="inlineStr">
        <is>
          <t>T1022</t>
        </is>
      </c>
      <c r="D32" s="10" t="inlineStr">
        <is>
          <t>Update property details view with all photos loaded in the image view that can be swiped to the next consequtive image of the property</t>
        </is>
      </c>
      <c r="E32" s="26" t="n">
        <v>1</v>
      </c>
      <c r="G32" s="31">
        <f>IF(I32-F32&gt;0, I32-F32, "")</f>
        <v/>
      </c>
      <c r="H32" s="45" t="n"/>
    </row>
    <row r="33" ht="18" customFormat="1" customHeight="1" s="27">
      <c r="A33" s="27" t="inlineStr">
        <is>
          <t>Sprint 10</t>
        </is>
      </c>
    </row>
    <row r="34" ht="32" customHeight="1" s="22">
      <c r="A34" s="45" t="inlineStr">
        <is>
          <t>PMID010</t>
        </is>
      </c>
      <c r="C34" s="45" t="inlineStr">
        <is>
          <t>T1023</t>
        </is>
      </c>
      <c r="D34" s="10" t="inlineStr">
        <is>
          <t>Create a mail_notification table and add mailing_interval_preference (daily/weekly/monthly) in contact table</t>
        </is>
      </c>
      <c r="E34" s="26" t="n">
        <v>1</v>
      </c>
      <c r="G34" s="31">
        <f>IF(I34-F34&gt;0, I34-F34, "")</f>
        <v/>
      </c>
      <c r="H34" s="45" t="n"/>
    </row>
    <row r="35" ht="16" customHeight="1" s="22">
      <c r="A35" s="45" t="inlineStr">
        <is>
          <t>PMID010</t>
        </is>
      </c>
      <c r="C35" s="45" t="inlineStr">
        <is>
          <t>T1024</t>
        </is>
      </c>
      <c r="D35" s="10" t="inlineStr">
        <is>
          <t>Remove current email dispatch function and replace with store email to email_digest table</t>
        </is>
      </c>
      <c r="E35" s="26" t="n">
        <v>1</v>
      </c>
      <c r="G35" s="31">
        <f>IF(I35-F35&gt;0, I35-F35, "")</f>
        <v/>
      </c>
      <c r="H35" s="45" t="n"/>
    </row>
    <row r="36" ht="16" customHeight="1" s="22">
      <c r="A36" s="45" t="inlineStr">
        <is>
          <t>PMID010</t>
        </is>
      </c>
      <c r="C36" s="45" t="inlineStr">
        <is>
          <t>T1025</t>
        </is>
      </c>
      <c r="D36" s="10" t="inlineStr">
        <is>
          <t>Create a Cron job to check schdule and dispatch email based on preference (daily/weekly)</t>
        </is>
      </c>
      <c r="E36" s="26" t="n">
        <v>1</v>
      </c>
      <c r="G36" s="31">
        <f>IF(I36-F36&gt;0, I36-F36, "")</f>
        <v/>
      </c>
      <c r="H36" s="45" t="n"/>
    </row>
    <row r="37" ht="16" customHeight="1" s="22">
      <c r="A37" s="45" t="inlineStr">
        <is>
          <t>PMID010</t>
        </is>
      </c>
      <c r="C37" s="45" t="inlineStr">
        <is>
          <t>T1026</t>
        </is>
      </c>
      <c r="D37" s="10" t="inlineStr">
        <is>
          <t>Create a new field is_push_notification_enabled in contact table</t>
        </is>
      </c>
      <c r="E37" s="26" t="n">
        <v>1</v>
      </c>
      <c r="G37" s="31">
        <f>IF(I37-F37&gt;0, I37-F37, "")</f>
        <v/>
      </c>
      <c r="H37" s="45" t="n"/>
    </row>
    <row r="38" ht="16" customHeight="1" s="22">
      <c r="A38" s="45" t="inlineStr">
        <is>
          <t>PMID010</t>
        </is>
      </c>
      <c r="C38" s="45" t="inlineStr">
        <is>
          <t>T1027</t>
        </is>
      </c>
      <c r="D38" s="10" t="inlineStr">
        <is>
          <t>Update current push notification model to validate if push_notificaiton is enabled before posting</t>
        </is>
      </c>
      <c r="E38" s="26" t="n">
        <v>1</v>
      </c>
      <c r="G38" s="31">
        <f>IF(I38-F38&gt;0, I38-F38, "")</f>
        <v/>
      </c>
      <c r="H38" s="45" t="n"/>
    </row>
    <row r="39" ht="32" customHeight="1" s="22">
      <c r="A39" s="45" t="inlineStr">
        <is>
          <t>PMID010</t>
        </is>
      </c>
      <c r="C39" s="45" t="inlineStr">
        <is>
          <t>T1028</t>
        </is>
      </c>
      <c r="D39" s="10" t="inlineStr">
        <is>
          <t>In UI user profile create new push_notification and mail_interval_presence fields and also update the same in registration forms and add client screens</t>
        </is>
      </c>
      <c r="E39" s="26" t="n">
        <v>1</v>
      </c>
      <c r="G39" s="31">
        <f>IF(I39-F39&gt;0, I39-F39, "")</f>
        <v/>
      </c>
      <c r="H39" s="45" t="n"/>
    </row>
    <row r="40" ht="18" customFormat="1" customHeight="1" s="27">
      <c r="A40" s="27" t="inlineStr">
        <is>
          <t>Sprint 11</t>
        </is>
      </c>
    </row>
    <row r="41" ht="32" customHeight="1" s="22">
      <c r="A41" s="45" t="inlineStr">
        <is>
          <t>PMID011</t>
        </is>
      </c>
      <c r="C41" s="45" t="inlineStr">
        <is>
          <t>T1029</t>
        </is>
      </c>
      <c r="D41" s="10" t="inlineStr">
        <is>
          <t>Update add contact table to make email and phone optional in Add Property/Update Property - Client tab</t>
        </is>
      </c>
      <c r="E41" s="26" t="n">
        <v>1</v>
      </c>
      <c r="G41" s="31">
        <f>IF(I41-F41&gt;0, I41-F41, "")</f>
        <v/>
      </c>
      <c r="H41" s="45" t="n"/>
    </row>
    <row r="42" ht="32" customHeight="1" s="22">
      <c r="A42" s="45" t="inlineStr">
        <is>
          <t>PMID011</t>
        </is>
      </c>
      <c r="C42" s="45" t="inlineStr">
        <is>
          <t>T1030</t>
        </is>
      </c>
      <c r="D42" s="10" t="inlineStr">
        <is>
          <t>Update View property details screen and show call/text/email only if client details are present or for other users, primary agent details are displayed</t>
        </is>
      </c>
      <c r="E42" s="26" t="n">
        <v>1</v>
      </c>
      <c r="G42" s="31">
        <f>IF(I42-F42&gt;0, I42-F42, "")</f>
        <v/>
      </c>
      <c r="H42" s="45" t="n"/>
    </row>
    <row r="43" ht="16" customHeight="1" s="22">
      <c r="A43" s="45" t="inlineStr">
        <is>
          <t>PMID011</t>
        </is>
      </c>
      <c r="C43" s="45" t="inlineStr">
        <is>
          <t>T1031</t>
        </is>
      </c>
      <c r="D43" s="10" t="inlineStr">
        <is>
          <t>Display contact phone/email/message on list my properties card view only when present</t>
        </is>
      </c>
      <c r="E43" s="26" t="n">
        <v>1</v>
      </c>
      <c r="G43" s="31">
        <f>IF(I43-F43&gt;0, I43-F43, "")</f>
        <v/>
      </c>
      <c r="H43" s="45" t="n"/>
    </row>
    <row r="44" ht="32" customHeight="1" s="22">
      <c r="A44" s="45" t="inlineStr">
        <is>
          <t>PMID011</t>
        </is>
      </c>
      <c r="C44" s="45" t="inlineStr">
        <is>
          <t>T1032</t>
        </is>
      </c>
      <c r="D44" s="10" t="inlineStr">
        <is>
          <t>Update add contact table to make email and phone optional in Add/Update Buyer Requirement - Client tab</t>
        </is>
      </c>
      <c r="E44" s="26" t="n">
        <v>1</v>
      </c>
      <c r="G44" s="31">
        <f>IF(I44-F44&gt;0, I44-F44, "")</f>
        <v/>
      </c>
      <c r="H44" s="45" t="n"/>
    </row>
    <row r="45" ht="32" customHeight="1" s="22">
      <c r="A45" s="45" t="inlineStr">
        <is>
          <t>PMID011</t>
        </is>
      </c>
      <c r="C45" s="45" t="inlineStr">
        <is>
          <t>T1033</t>
        </is>
      </c>
      <c r="D45" s="10" t="inlineStr">
        <is>
          <t>Update View Buyer Requirement screen and show call/text/email only if client details are present or for other users, primary agent details are displayed</t>
        </is>
      </c>
      <c r="E45" s="26" t="n">
        <v>1</v>
      </c>
      <c r="G45" s="31">
        <f>IF(I45-F45&gt;0, I45-F45, "")</f>
        <v/>
      </c>
      <c r="H45" s="45" t="n"/>
    </row>
    <row r="46" ht="32" customHeight="1" s="22">
      <c r="A46" s="45" t="inlineStr">
        <is>
          <t>PMID011</t>
        </is>
      </c>
      <c r="C46" s="45" t="inlineStr">
        <is>
          <t>T1034</t>
        </is>
      </c>
      <c r="D46" s="10" t="inlineStr">
        <is>
          <t>In Matched properties view, disable email, request site visit to be enabled only if client details are present</t>
        </is>
      </c>
      <c r="E46" s="26" t="n">
        <v>1</v>
      </c>
      <c r="G46" s="31">
        <f>IF(I46-F46&gt;0, I46-F46, "")</f>
        <v/>
      </c>
      <c r="H46" s="45" t="n"/>
    </row>
    <row r="47" ht="16" customHeight="1" s="22">
      <c r="A47" s="45" t="inlineStr">
        <is>
          <t>PMID011</t>
        </is>
      </c>
      <c r="C47" s="45" t="inlineStr">
        <is>
          <t>T1035</t>
        </is>
      </c>
      <c r="D47" s="10" t="inlineStr">
        <is>
          <t>In search view, remove contact details of own properties in search if the client details are not present.</t>
        </is>
      </c>
      <c r="E47" s="26" t="n">
        <v>1</v>
      </c>
      <c r="G47" s="31">
        <f>IF(I47-F47&gt;0, I47-F47, "")</f>
        <v/>
      </c>
      <c r="H47" s="45" t="n"/>
    </row>
    <row r="48" ht="16" customHeight="1" s="22">
      <c r="A48" s="45" t="inlineStr">
        <is>
          <t>PMID011</t>
        </is>
      </c>
      <c r="C48" s="45" t="inlineStr">
        <is>
          <t>T1036</t>
        </is>
      </c>
      <c r="D48" s="10" t="inlineStr">
        <is>
          <t>In link new properties, search view do likewise.</t>
        </is>
      </c>
      <c r="E48" s="26" t="n">
        <v>1</v>
      </c>
      <c r="G48" s="31">
        <f>IF(I48-F48&gt;0, I48-F48, "")</f>
        <v/>
      </c>
      <c r="H48" s="45" t="n"/>
    </row>
    <row r="49" ht="18" customFormat="1" customHeight="1" s="27">
      <c r="A49" s="27" t="inlineStr">
        <is>
          <t>Sprint 12</t>
        </is>
      </c>
    </row>
    <row r="50" ht="32" customHeight="1" s="22">
      <c r="A50" s="45" t="inlineStr">
        <is>
          <t>PMID012</t>
        </is>
      </c>
      <c r="C50" s="45" t="inlineStr">
        <is>
          <t>T1037</t>
        </is>
      </c>
      <c r="D50" s="10" t="inlineStr">
        <is>
          <t>Remove username field in registration form, no changes will be requried (the username is permenant/emails can change over time) login is already changed to email, no other update required)</t>
        </is>
      </c>
      <c r="E50" s="26" t="n">
        <v>1</v>
      </c>
      <c r="G50" s="31">
        <f>IF(I50-F50&gt;0, I50-F50, "")</f>
        <v/>
      </c>
      <c r="H50" s="45" t="n"/>
    </row>
    <row r="51" ht="18" customFormat="1" customHeight="1" s="27">
      <c r="A51" s="27" t="inlineStr">
        <is>
          <t>Sprint 13</t>
        </is>
      </c>
    </row>
    <row r="52" ht="16" customHeight="1" s="22">
      <c r="A52" s="45" t="inlineStr">
        <is>
          <t>PMID013</t>
        </is>
      </c>
      <c r="C52" s="45" t="inlineStr">
        <is>
          <t>T1038</t>
        </is>
      </c>
      <c r="D52" s="10" t="inlineStr">
        <is>
          <t>Update ToC &amp; Privacy Policy links on Registration form and in the app.</t>
        </is>
      </c>
      <c r="E52" s="26" t="n">
        <v>1</v>
      </c>
      <c r="G52" s="31">
        <f>IF(I52-F52&gt;0, I52-F52, "")</f>
        <v/>
      </c>
      <c r="H52" s="45" t="n"/>
    </row>
    <row r="53" ht="18" customFormat="1" customHeight="1" s="27">
      <c r="A53" s="27" t="inlineStr">
        <is>
          <t>Sprint 14</t>
        </is>
      </c>
    </row>
    <row r="54" ht="16" customHeight="1" s="22">
      <c r="A54" s="45" t="inlineStr">
        <is>
          <t>PMID014</t>
        </is>
      </c>
      <c r="C54" s="45" t="inlineStr">
        <is>
          <t>T1039</t>
        </is>
      </c>
      <c r="D54" s="10" t="inlineStr">
        <is>
          <t>Create an API to share properties on Voyage or MLS</t>
        </is>
      </c>
      <c r="E54" s="26" t="n">
        <v>1</v>
      </c>
      <c r="G54" s="31">
        <f>IF(I54-F54&gt;0, I54-F54, "")</f>
        <v/>
      </c>
      <c r="H54" s="45" t="n"/>
    </row>
    <row r="55" ht="32" customHeight="1" s="22">
      <c r="A55" s="45" t="inlineStr">
        <is>
          <t>PMID014</t>
        </is>
      </c>
      <c r="C55" s="45" t="inlineStr">
        <is>
          <t>T1040</t>
        </is>
      </c>
      <c r="D55" s="10" t="inlineStr">
        <is>
          <t>For UI add social media share plugin to share content and include in all property card/view property details pages</t>
        </is>
      </c>
      <c r="E55" s="26" t="n">
        <v>1</v>
      </c>
      <c r="G55" s="31">
        <f>IF(I55-F55&gt;0, I55-F55, "")</f>
        <v/>
      </c>
      <c r="H55" s="45" t="n"/>
    </row>
    <row r="56" ht="18" customFormat="1" customHeight="1" s="27">
      <c r="A56" s="27" t="inlineStr">
        <is>
          <t>Sprint 15</t>
        </is>
      </c>
    </row>
    <row r="57" ht="32" customHeight="1" s="22">
      <c r="A57" s="45" t="inlineStr">
        <is>
          <t>PMID015</t>
        </is>
      </c>
      <c r="C57" s="45" t="inlineStr">
        <is>
          <t>T1041</t>
        </is>
      </c>
      <c r="D57" s="10" t="inlineStr">
        <is>
          <t>Create Client Tab as Contacts, on clicking any contact show both buyer requirements/properties on offer</t>
        </is>
      </c>
      <c r="E57" s="26" t="n">
        <v>1</v>
      </c>
      <c r="G57" s="31">
        <f>IF(I57-F57&gt;0, I57-F57, "")</f>
        <v/>
      </c>
      <c r="H57" s="45" t="n"/>
    </row>
    <row r="58" ht="16" customHeight="1" s="22">
      <c r="A58" s="45" t="inlineStr">
        <is>
          <t>PMID015</t>
        </is>
      </c>
      <c r="C58" s="45" t="inlineStr">
        <is>
          <t>T1042</t>
        </is>
      </c>
      <c r="D58" s="10" t="inlineStr">
        <is>
          <t>Update API changes to existing client listing.</t>
        </is>
      </c>
      <c r="E58" s="26" t="n">
        <v>1</v>
      </c>
      <c r="G58" s="31">
        <f>IF(I58-F58&gt;0, I58-F58, "")</f>
        <v/>
      </c>
      <c r="H58" s="45" t="n"/>
    </row>
    <row r="59" ht="18" customFormat="1" customHeight="1" s="27">
      <c r="A59" s="27" t="inlineStr">
        <is>
          <t>Sprint 16</t>
        </is>
      </c>
    </row>
    <row r="60" ht="16" customHeight="1" s="22">
      <c r="A60" s="45" t="inlineStr">
        <is>
          <t>PMID016</t>
        </is>
      </c>
      <c r="C60" s="45" t="inlineStr">
        <is>
          <t>T1043</t>
        </is>
      </c>
      <c r="D60" s="10" t="inlineStr">
        <is>
          <t xml:space="preserve">Create API to import phone contact to contacts table </t>
        </is>
      </c>
      <c r="E60" s="26" t="n">
        <v>1</v>
      </c>
      <c r="G60" s="31">
        <f>IF(I60-F60&gt;0, I60-F60, "")</f>
        <v/>
      </c>
      <c r="H60" s="45" t="n"/>
    </row>
    <row r="61" ht="16" customHeight="1" s="22">
      <c r="A61" s="45" t="inlineStr">
        <is>
          <t>PMID016</t>
        </is>
      </c>
      <c r="C61" s="45" t="inlineStr">
        <is>
          <t>T1044</t>
        </is>
      </c>
      <c r="D61" s="10" t="inlineStr">
        <is>
          <t>Use react native module to import phone contacts, in profile add Sync Contacts on phone option.</t>
        </is>
      </c>
      <c r="E61" s="26" t="n">
        <v>1</v>
      </c>
      <c r="G61" s="31">
        <f>IF(I61-F61&gt;0, I61-F61, "")</f>
        <v/>
      </c>
      <c r="H61" s="45" t="n"/>
    </row>
    <row r="62">
      <c r="H62" s="45" t="n"/>
    </row>
    <row r="63">
      <c r="H63" s="45" t="n"/>
    </row>
    <row r="64">
      <c r="H64" s="45" t="n"/>
    </row>
    <row r="65">
      <c r="H65" s="45" t="n"/>
    </row>
    <row r="66">
      <c r="H66" s="45" t="n"/>
    </row>
    <row r="67">
      <c r="H67" s="45" t="n"/>
    </row>
    <row r="68">
      <c r="H68" s="45" t="n"/>
    </row>
    <row r="69">
      <c r="H69" s="45" t="n"/>
    </row>
    <row r="70">
      <c r="H70" s="45" t="n"/>
    </row>
    <row r="71">
      <c r="H71" s="45" t="n"/>
    </row>
    <row r="72">
      <c r="H72" s="45" t="n"/>
    </row>
    <row r="73">
      <c r="H73" s="45" t="n"/>
    </row>
    <row r="74">
      <c r="H74" s="45" t="n"/>
    </row>
    <row r="75">
      <c r="H75" s="45" t="n"/>
    </row>
    <row r="76">
      <c r="H76" s="45" t="n"/>
    </row>
    <row r="77">
      <c r="H77" s="45" t="n"/>
    </row>
    <row r="78">
      <c r="H78" s="45" t="n"/>
    </row>
    <row r="79">
      <c r="H79" s="45" t="n"/>
    </row>
    <row r="80">
      <c r="H80" s="45" t="n"/>
    </row>
    <row r="81">
      <c r="H81" s="45" t="n"/>
    </row>
    <row r="82">
      <c r="H82" s="45" t="n"/>
    </row>
    <row r="83">
      <c r="H83" s="45" t="n"/>
    </row>
    <row r="84">
      <c r="H84" s="45" t="n"/>
    </row>
    <row r="85">
      <c r="H85" s="45" t="n"/>
    </row>
    <row r="86">
      <c r="H86" s="45" t="n"/>
    </row>
    <row r="87">
      <c r="H87" s="45" t="n"/>
    </row>
    <row r="88">
      <c r="H88" s="45" t="n"/>
    </row>
    <row r="89">
      <c r="H89" s="45" t="n"/>
    </row>
    <row r="90">
      <c r="H90" s="45" t="n"/>
    </row>
    <row r="91">
      <c r="H91" s="45" t="n"/>
    </row>
    <row r="92">
      <c r="H92" s="45" t="n"/>
    </row>
    <row r="93">
      <c r="H93" s="45" t="n"/>
    </row>
    <row r="94">
      <c r="H94" s="45" t="n"/>
    </row>
    <row r="95">
      <c r="H95" s="45" t="n"/>
    </row>
    <row r="96">
      <c r="H96" s="45" t="n"/>
    </row>
    <row r="97">
      <c r="H97" s="45" t="n"/>
    </row>
    <row r="98">
      <c r="H98" s="45" t="n"/>
    </row>
    <row r="99">
      <c r="H99" s="45" t="n"/>
    </row>
    <row r="100">
      <c r="H100" s="45" t="n"/>
    </row>
    <row r="101">
      <c r="H101" s="45" t="n"/>
    </row>
    <row r="102">
      <c r="H102" s="45" t="n"/>
    </row>
    <row r="103">
      <c r="H103" s="45" t="n"/>
    </row>
    <row r="104">
      <c r="H104" s="45" t="n"/>
    </row>
    <row r="105">
      <c r="H105" s="45" t="n"/>
    </row>
    <row r="106">
      <c r="H106" s="45" t="n"/>
    </row>
    <row r="107">
      <c r="H107" s="45" t="n"/>
    </row>
    <row r="108">
      <c r="H108" s="45" t="n"/>
    </row>
    <row r="109">
      <c r="H109" s="45" t="n"/>
    </row>
    <row r="110">
      <c r="H110" s="45" t="n"/>
    </row>
    <row r="111">
      <c r="H111" s="45" t="n"/>
    </row>
    <row r="112">
      <c r="H112" s="45" t="n"/>
    </row>
    <row r="113">
      <c r="H113" s="45" t="n"/>
    </row>
    <row r="114">
      <c r="H114" s="45" t="n"/>
    </row>
    <row r="115">
      <c r="H115" s="45" t="n"/>
    </row>
    <row r="116">
      <c r="H116" s="45" t="n"/>
    </row>
    <row r="117">
      <c r="H117" s="45" t="n"/>
    </row>
    <row r="118">
      <c r="H118" s="45" t="n"/>
    </row>
    <row r="119">
      <c r="H119" s="45" t="n"/>
    </row>
    <row r="120">
      <c r="H120" s="45" t="n"/>
    </row>
    <row r="121">
      <c r="H121" s="45" t="n"/>
    </row>
    <row r="122">
      <c r="H122" s="45" t="n"/>
    </row>
    <row r="123">
      <c r="H123" s="45" t="n"/>
    </row>
    <row r="124">
      <c r="H124" s="45" t="n"/>
    </row>
    <row r="125">
      <c r="H125" s="45" t="n"/>
    </row>
    <row r="126">
      <c r="H126" s="45" t="n"/>
    </row>
    <row r="127">
      <c r="H127" s="45" t="n"/>
    </row>
    <row r="128">
      <c r="H128" s="45" t="n"/>
    </row>
    <row r="129">
      <c r="H129" s="45" t="n"/>
    </row>
    <row r="130">
      <c r="H130" s="45" t="n"/>
    </row>
    <row r="131">
      <c r="H131" s="45" t="n"/>
    </row>
    <row r="132">
      <c r="H132" s="45" t="n"/>
    </row>
    <row r="133">
      <c r="H133" s="45" t="n"/>
    </row>
    <row r="134">
      <c r="H134" s="45" t="n"/>
    </row>
    <row r="135">
      <c r="H135" s="45" t="n"/>
    </row>
    <row r="136">
      <c r="H136" s="45" t="n"/>
    </row>
    <row r="137">
      <c r="H137" s="45" t="n"/>
    </row>
    <row r="138">
      <c r="H138" s="45" t="n"/>
    </row>
    <row r="139">
      <c r="H139" s="45" t="n"/>
    </row>
    <row r="140">
      <c r="H140" s="45" t="n"/>
    </row>
    <row r="141">
      <c r="H141" s="45" t="n"/>
    </row>
    <row r="142">
      <c r="H142" s="45" t="n"/>
    </row>
    <row r="143">
      <c r="H143" s="45" t="n"/>
    </row>
    <row r="144">
      <c r="H144" s="45" t="n"/>
    </row>
    <row r="145">
      <c r="H145" s="45" t="n"/>
    </row>
    <row r="146">
      <c r="H146" s="45" t="n"/>
    </row>
    <row r="147">
      <c r="H147" s="45" t="n"/>
    </row>
    <row r="148">
      <c r="H148" s="45" t="n"/>
    </row>
    <row r="149">
      <c r="H149" s="45" t="n"/>
    </row>
    <row r="150">
      <c r="H150" s="45" t="n"/>
    </row>
    <row r="151">
      <c r="H151" s="45" t="n"/>
    </row>
    <row r="152">
      <c r="H152" s="45" t="n"/>
    </row>
    <row r="153">
      <c r="H153" s="45" t="n"/>
    </row>
    <row r="154">
      <c r="H154" s="45" t="n"/>
    </row>
    <row r="155">
      <c r="H155" s="45" t="n"/>
    </row>
    <row r="156">
      <c r="H156" s="45" t="n"/>
    </row>
    <row r="157">
      <c r="H157" s="45" t="n"/>
    </row>
    <row r="158">
      <c r="H158" s="45" t="n"/>
    </row>
    <row r="159">
      <c r="H159" s="45" t="n"/>
    </row>
    <row r="160">
      <c r="H160" s="45" t="n"/>
    </row>
    <row r="161">
      <c r="H161" s="45" t="n"/>
    </row>
    <row r="162">
      <c r="H162" s="45" t="n"/>
    </row>
    <row r="163">
      <c r="H163" s="45" t="n"/>
    </row>
    <row r="164">
      <c r="H164" s="45" t="n"/>
    </row>
    <row r="165">
      <c r="H165" s="45" t="n"/>
    </row>
    <row r="166">
      <c r="H166" s="45" t="n"/>
    </row>
    <row r="167">
      <c r="H167" s="45" t="n"/>
    </row>
    <row r="168">
      <c r="H168" s="45" t="n"/>
    </row>
    <row r="169">
      <c r="H169" s="45" t="n"/>
    </row>
    <row r="170">
      <c r="H170" s="45" t="n"/>
    </row>
    <row r="171">
      <c r="H171" s="45" t="n"/>
    </row>
    <row r="172">
      <c r="H172" s="45" t="n"/>
    </row>
    <row r="173">
      <c r="H173" s="45" t="n"/>
    </row>
    <row r="174">
      <c r="H174" s="45" t="n"/>
    </row>
    <row r="175">
      <c r="H175" s="45" t="n"/>
    </row>
    <row r="176">
      <c r="H176" s="45" t="n"/>
    </row>
    <row r="177">
      <c r="H177" s="45" t="n"/>
    </row>
    <row r="178">
      <c r="H178" s="45" t="n"/>
    </row>
    <row r="179">
      <c r="H179" s="45" t="n"/>
    </row>
    <row r="180">
      <c r="H180" s="45" t="n"/>
    </row>
    <row r="181">
      <c r="H181" s="45" t="n"/>
    </row>
    <row r="182">
      <c r="H182" s="45" t="n"/>
    </row>
    <row r="183">
      <c r="H183" s="45" t="n"/>
    </row>
    <row r="184">
      <c r="H184" s="45" t="n"/>
    </row>
    <row r="185">
      <c r="H185" s="45" t="n"/>
    </row>
    <row r="186">
      <c r="H186" s="45" t="n"/>
    </row>
    <row r="187">
      <c r="H187" s="45" t="n"/>
    </row>
    <row r="188">
      <c r="H188" s="45" t="n"/>
    </row>
    <row r="189">
      <c r="H189" s="45" t="n"/>
    </row>
    <row r="190">
      <c r="H190" s="45" t="n"/>
    </row>
    <row r="191">
      <c r="H191" s="45" t="n"/>
    </row>
    <row r="192">
      <c r="H192" s="45" t="n"/>
    </row>
    <row r="193">
      <c r="H193" s="45" t="n"/>
    </row>
    <row r="194">
      <c r="H194" s="45" t="n"/>
    </row>
    <row r="195">
      <c r="H195" s="45" t="n"/>
    </row>
    <row r="196">
      <c r="H196" s="45" t="n"/>
    </row>
    <row r="197">
      <c r="H197" s="45" t="n"/>
    </row>
    <row r="198">
      <c r="H198" s="45" t="n"/>
    </row>
    <row r="199">
      <c r="H199" s="45" t="n"/>
    </row>
    <row r="200">
      <c r="H200" s="45" t="n"/>
    </row>
    <row r="201">
      <c r="H201" s="45" t="n"/>
    </row>
    <row r="202">
      <c r="H202" s="45" t="n"/>
    </row>
  </sheetData>
  <mergeCells count="16">
    <mergeCell ref="A27:XFD27"/>
    <mergeCell ref="A19:XFD19"/>
    <mergeCell ref="A40:XFD40"/>
    <mergeCell ref="A56:XFD56"/>
    <mergeCell ref="A21:XFD21"/>
    <mergeCell ref="A30:XFD30"/>
    <mergeCell ref="A53:XFD53"/>
    <mergeCell ref="A15:XFD15"/>
    <mergeCell ref="A7:XFD7"/>
    <mergeCell ref="A59:XFD59"/>
    <mergeCell ref="A24:XFD24"/>
    <mergeCell ref="A2:XFD2"/>
    <mergeCell ref="A51:XFD51"/>
    <mergeCell ref="A10:XFD10"/>
    <mergeCell ref="A33:XFD33"/>
    <mergeCell ref="A49:XFD49"/>
  </mergeCells>
  <dataValidations count="2">
    <dataValidation sqref="J3:J6 J8:J9 J11:J14 J16:J18 J20 J22:J23 J25:J26 J28:J29 J31:J32 J34:J38" showDropDown="0" showInputMessage="1" showErrorMessage="1" allowBlank="1" type="list">
      <formula1>RESOURCE</formula1>
    </dataValidation>
    <dataValidation sqref="H3:H6 H8:H9 H11:H14 H16:H18 H20 H22:H23 H25:H26 H28:H29 H31:H32 H34:H39 H41:H48 H50 H52 H54:H55 H57:H58 H60:H202" showDropDown="0" showInputMessage="1" showErrorMessage="1" allowBlank="1" type="list">
      <formula1>Status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C14" sqref="C14"/>
    </sheetView>
  </sheetViews>
  <sheetFormatPr baseColWidth="10" defaultColWidth="9.1640625" defaultRowHeight="15"/>
  <cols>
    <col width="8.1640625" customWidth="1" style="45" min="1" max="1"/>
    <col width="26.5" customWidth="1" style="45" min="2" max="2"/>
    <col width="28.5" customWidth="1" style="45" min="3" max="3"/>
    <col width="24" customWidth="1" style="45" min="4" max="4"/>
    <col width="24" customWidth="1" style="32" min="5" max="5"/>
    <col width="14.83203125" customWidth="1" style="32" min="6" max="6"/>
    <col width="16.1640625" customWidth="1" style="32" min="7" max="7"/>
    <col width="9.1640625" customWidth="1" style="45" min="8" max="16384"/>
  </cols>
  <sheetData>
    <row r="1" ht="29.25" customFormat="1" customHeight="1" s="12">
      <c r="A1" s="30" t="inlineStr">
        <is>
          <t>#</t>
        </is>
      </c>
      <c r="B1" s="30" t="inlineStr">
        <is>
          <t>Resource Name</t>
        </is>
      </c>
      <c r="C1" s="30" t="inlineStr">
        <is>
          <t>Resource Type</t>
        </is>
      </c>
      <c r="D1" s="30" t="inlineStr">
        <is>
          <t>Designation</t>
        </is>
      </c>
      <c r="E1" s="30" t="inlineStr">
        <is>
          <t>Assigned Tasks</t>
        </is>
      </c>
      <c r="F1" s="30" t="inlineStr">
        <is>
          <t>Current Tasks</t>
        </is>
      </c>
      <c r="G1" s="30" t="inlineStr">
        <is>
          <t>Completed Tasks</t>
        </is>
      </c>
    </row>
    <row r="2">
      <c r="A2" s="45" t="n">
        <v>1</v>
      </c>
      <c r="B2" s="9" t="inlineStr">
        <is>
          <t xml:space="preserve">Architect </t>
        </is>
      </c>
      <c r="C2" s="45" t="inlineStr">
        <is>
          <t>STAFF</t>
        </is>
      </c>
      <c r="D2" s="9" t="inlineStr">
        <is>
          <t>Architect</t>
        </is>
      </c>
      <c r="E2" s="32">
        <f>SUMIFS( 'Sprint Planner'!E:E,'Sprint Planner'!J:J, Resources!B2)</f>
        <v/>
      </c>
      <c r="F2" s="32">
        <f>SUMIFS('Sprint Planner'!E:E, 'Sprint Planner'!J:J, Resources!B2,'Sprint Planner'!H:H,"IN-PROGRESS" )</f>
        <v/>
      </c>
      <c r="G2" s="32">
        <f>SUMIFS( 'Sprint Planner'!E:E,'Sprint Planner'!J:J, Resources!B2, 'Sprint Planner'!H:H, "COMPLETED")</f>
        <v/>
      </c>
    </row>
    <row r="3">
      <c r="A3" s="45" t="n">
        <v>2</v>
      </c>
      <c r="B3" s="17" t="inlineStr">
        <is>
          <t>Senior Java Developer</t>
        </is>
      </c>
      <c r="C3" s="45" t="inlineStr">
        <is>
          <t>STAFF</t>
        </is>
      </c>
      <c r="D3" s="17" t="inlineStr">
        <is>
          <t>AWS Senior Engineer</t>
        </is>
      </c>
      <c r="E3" s="32">
        <f>SUMIFS( 'Sprint Planner'!E:E,'Sprint Planner'!J:J, Resources!B3)</f>
        <v/>
      </c>
      <c r="F3" s="32">
        <f>SUMIFS( 'Sprint Planner'!E:E,'Sprint Planner'!J:J, Resources!B3, 'Sprint Planner'!H:H, "IN-PROGRESS")</f>
        <v/>
      </c>
      <c r="G3" s="32">
        <f>SUMIFS( 'Sprint Planner'!E:E,'Sprint Planner'!J:J, Resources!B3, 'Sprint Planner'!H:H, "COMPLETED")</f>
        <v/>
      </c>
    </row>
    <row r="4">
      <c r="A4" s="45" t="n">
        <v>3</v>
      </c>
      <c r="B4" s="17" t="inlineStr">
        <is>
          <t>Frontend Developer</t>
        </is>
      </c>
      <c r="C4" s="45" t="inlineStr">
        <is>
          <t>STAFF</t>
        </is>
      </c>
      <c r="D4" s="17" t="inlineStr">
        <is>
          <t>React Native Developer</t>
        </is>
      </c>
      <c r="E4" s="32">
        <f>SUMIFS( 'Sprint Planner'!E:E,'Sprint Planner'!J:J, Resources!B4)</f>
        <v/>
      </c>
      <c r="F4" s="32">
        <f>SUMIFS( 'Sprint Planner'!E:E,'Sprint Planner'!J:J, Resources!B4, 'Sprint Planner'!H:H, "IN-PROGRESS")</f>
        <v/>
      </c>
      <c r="G4" s="32">
        <f>SUMIFS( 'Sprint Planner'!E:E,'Sprint Planner'!J:J, Resources!B4, 'Sprint Planner'!H:H, "COMPLETED")</f>
        <v/>
      </c>
    </row>
    <row r="5">
      <c r="A5" s="45" t="n">
        <v>4</v>
      </c>
      <c r="B5" s="17" t="inlineStr">
        <is>
          <t>UX Designer</t>
        </is>
      </c>
      <c r="C5" s="45" t="inlineStr">
        <is>
          <t>STAFF</t>
        </is>
      </c>
      <c r="D5" s="17" t="inlineStr">
        <is>
          <t>Designer</t>
        </is>
      </c>
      <c r="E5" s="32">
        <f>SUMIFS( 'Sprint Planner'!E:E,'Sprint Planner'!J:J, Resources!B5)</f>
        <v/>
      </c>
      <c r="F5" s="32">
        <f>SUMIFS( 'Sprint Planner'!E:E,'Sprint Planner'!J:J, Resources!B5, 'Sprint Planner'!H:H, "IN-PROGRESS")</f>
        <v/>
      </c>
      <c r="G5" s="32">
        <f>SUMIFS( 'Sprint Planner'!E:E,'Sprint Planner'!J:J, Resources!B5, 'Sprint Planner'!H:H, "COMPLETED")</f>
        <v/>
      </c>
    </row>
    <row r="6">
      <c r="A6" s="45" t="n">
        <v>5</v>
      </c>
      <c r="B6" s="9" t="inlineStr">
        <is>
          <t>Test Engineer</t>
        </is>
      </c>
      <c r="C6" s="45" t="inlineStr">
        <is>
          <t>CONTRACTOR</t>
        </is>
      </c>
      <c r="D6" s="9" t="inlineStr">
        <is>
          <t>App Tester</t>
        </is>
      </c>
    </row>
  </sheetData>
  <dataValidations count="1">
    <dataValidation sqref="C2:C6" showDropDown="0" showInputMessage="1" showErrorMessage="1" allowBlank="1" type="list">
      <formula1>RESOURCETYPE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0" workbookViewId="0">
      <selection activeCell="E4" sqref="E4"/>
    </sheetView>
  </sheetViews>
  <sheetFormatPr baseColWidth="10" defaultColWidth="8.83203125" defaultRowHeight="15"/>
  <cols>
    <col width="28.33203125" customWidth="1" style="22" min="1" max="1"/>
    <col width="17.6640625" customWidth="1" style="22" min="3" max="3"/>
    <col width="26.6640625" customWidth="1" style="22" min="5" max="5"/>
  </cols>
  <sheetData>
    <row r="1">
      <c r="A1" s="24" t="inlineStr">
        <is>
          <t>Project Status</t>
        </is>
      </c>
      <c r="B1" s="24" t="n"/>
      <c r="C1" s="25" t="inlineStr">
        <is>
          <t>Cost per Hour ($)</t>
        </is>
      </c>
      <c r="D1" s="24" t="n"/>
      <c r="E1" s="24" t="inlineStr">
        <is>
          <t>Resource Type</t>
        </is>
      </c>
    </row>
    <row r="2">
      <c r="A2" t="inlineStr">
        <is>
          <t>IN-PROGRESS</t>
        </is>
      </c>
      <c r="C2" s="4" t="n">
        <v>30</v>
      </c>
      <c r="E2" t="inlineStr">
        <is>
          <t>STAFF</t>
        </is>
      </c>
    </row>
    <row r="3">
      <c r="A3" t="inlineStr">
        <is>
          <t>ON-HOLD</t>
        </is>
      </c>
      <c r="E3" s="23" t="inlineStr">
        <is>
          <t>CONTRACTOR</t>
        </is>
      </c>
    </row>
    <row r="4">
      <c r="A4" t="inlineStr">
        <is>
          <t>CANCELLED</t>
        </is>
      </c>
      <c r="E4" t="inlineStr">
        <is>
          <t>AGENCY</t>
        </is>
      </c>
    </row>
    <row r="5">
      <c r="A5" t="inlineStr">
        <is>
          <t>WITHDRAWN</t>
        </is>
      </c>
    </row>
    <row r="6">
      <c r="A6" t="inlineStr">
        <is>
          <t>COMPLETED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Office634;Ruben Gerad Mathew</dc:creator>
  <dcterms:created xsi:type="dcterms:W3CDTF">2020-10-30T19:51:42Z</dcterms:created>
  <dcterms:modified xsi:type="dcterms:W3CDTF">2026-09-28T15:37:51Z</dcterms:modified>
  <cp:lastModifiedBy>Ruben Gerad Mathew</cp:lastModifiedBy>
</cp:coreProperties>
</file>