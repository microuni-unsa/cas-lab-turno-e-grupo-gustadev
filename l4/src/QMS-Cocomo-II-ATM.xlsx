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FP Units" sheetId="1" state="visible" r:id="rId1"/>
    <sheet name="FPs" sheetId="2" state="visible" r:id="rId2"/>
    <sheet name="Backfiring" sheetId="3" state="visible" r:id="rId3"/>
    <sheet name="Effort" sheetId="4" state="visible" r:id="rId4"/>
    <sheet name="Cost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<sst xmlns="http://schemas.openxmlformats.org/spreadsheetml/2006/main" count="140" uniqueCount="140">
  <si>
    <t xml:space="preserve">FP Units</t>
  </si>
  <si>
    <t>Function</t>
  </si>
  <si>
    <t>Complexity</t>
  </si>
  <si>
    <t>FPs</t>
  </si>
  <si>
    <t>ILF</t>
  </si>
  <si>
    <t>Simple</t>
  </si>
  <si>
    <t>Average</t>
  </si>
  <si>
    <t>Complex</t>
  </si>
  <si>
    <t>EIF</t>
  </si>
  <si>
    <t>EI</t>
  </si>
  <si>
    <t>EO</t>
  </si>
  <si>
    <t>EQ</t>
  </si>
  <si>
    <t xml:space="preserve">Features / Subsystems</t>
  </si>
  <si>
    <t xml:space="preserve">Comments / Functional Specification</t>
  </si>
  <si>
    <t>Ref</t>
  </si>
  <si>
    <t xml:space="preserve">Low (7)</t>
  </si>
  <si>
    <t xml:space="preserve">Avg (10)</t>
  </si>
  <si>
    <t xml:space="preserve">High (15)</t>
  </si>
  <si>
    <t xml:space="preserve">Low (5)</t>
  </si>
  <si>
    <t xml:space="preserve">Avg (7)</t>
  </si>
  <si>
    <t xml:space="preserve">High (10)</t>
  </si>
  <si>
    <t xml:space="preserve">Low (3)</t>
  </si>
  <si>
    <t xml:space="preserve">Avg (4)</t>
  </si>
  <si>
    <t xml:space="preserve">High (6)</t>
  </si>
  <si>
    <t xml:space="preserve">Low (4)</t>
  </si>
  <si>
    <t xml:space="preserve">Avg (5)</t>
  </si>
  <si>
    <t xml:space="preserve">High (7)</t>
  </si>
  <si>
    <t xml:space="preserve">Total FPs</t>
  </si>
  <si>
    <t xml:space="preserve">DEV Days</t>
  </si>
  <si>
    <t xml:space="preserve">DEV Hours</t>
  </si>
  <si>
    <t xml:space="preserve">Total Days</t>
  </si>
  <si>
    <t xml:space="preserve">Módulo 1: Seguridad y Autenticación</t>
  </si>
  <si>
    <t xml:space="preserve">Lectura de tarjeta y validación de clave PIN encriptada con host bancario</t>
  </si>
  <si>
    <t>REF-01</t>
  </si>
  <si>
    <t xml:space="preserve">Módulo 2: Retiro de Efectivo y Gavetas</t>
  </si>
  <si>
    <t xml:space="preserve">Transacción de retiro, control de límites y dispensación de billetes físicos</t>
  </si>
  <si>
    <t>REF-02</t>
  </si>
  <si>
    <t xml:space="preserve">Módulo 3: Depósito y Transferencias</t>
  </si>
  <si>
    <t xml:space="preserve">Recepción y conteo de billetes en tolva, y transferencias interbancarias vía Consorcio</t>
  </si>
  <si>
    <t>REF-03</t>
  </si>
  <si>
    <t xml:space="preserve">Módulo 4: Consultas y Comprobantes</t>
  </si>
  <si>
    <t xml:space="preserve">Consulta de saldo, reporte de últimos movimientos y emisión de comprobante impreso</t>
  </si>
  <si>
    <t>REF-04</t>
  </si>
  <si>
    <t xml:space="preserve">Módulo 5: Almacenamiento Local (ALI)</t>
  </si>
  <si>
    <t xml:space="preserve">Diario local de transacciones para auditoría y registro de efectivo en casetes</t>
  </si>
  <si>
    <t>REF-05</t>
  </si>
  <si>
    <t xml:space="preserve">Módulo 6: Interfaces Externas (AIE)</t>
  </si>
  <si>
    <t xml:space="preserve">Base de cuentas del Banco Emisor y Red de Enrutamiento del Consorcio</t>
  </si>
  <si>
    <t>REF-06</t>
  </si>
  <si>
    <t xml:space="preserve">Total Puntos de Función No Ajustados (PFNA)</t>
  </si>
  <si>
    <t xml:space="preserve">Language / Technology</t>
  </si>
  <si>
    <t xml:space="preserve">SLOC per FP</t>
  </si>
  <si>
    <t>Comments</t>
  </si>
  <si>
    <t>C++</t>
  </si>
  <si>
    <t xml:space="preserve">ATM Native Controller</t>
  </si>
  <si>
    <t xml:space="preserve">Java, JSP, J2EE</t>
  </si>
  <si>
    <t xml:space="preserve">Average enterprise standard</t>
  </si>
  <si>
    <t xml:space="preserve">C# / .NET</t>
  </si>
  <si>
    <t xml:space="preserve">Enterprise client</t>
  </si>
  <si>
    <t>JavaScript</t>
  </si>
  <si>
    <t xml:space="preserve">Web/Electron frontends</t>
  </si>
  <si>
    <t xml:space="preserve">Visual Basic</t>
  </si>
  <si>
    <t xml:space="preserve">Legacy clients</t>
  </si>
  <si>
    <t xml:space="preserve">PLSQL / SQL</t>
  </si>
  <si>
    <t xml:space="preserve">Database stored procedures</t>
  </si>
  <si>
    <t xml:space="preserve">COCOMO II Post-Architecture Estimation - ATM Project</t>
  </si>
  <si>
    <t xml:space="preserve">Fórmula Base: PM = A * (Size)^E * Product(EM)</t>
  </si>
  <si>
    <t xml:space="preserve">Exponente: E = B + (0.01 * SUM(Scaling Factors))</t>
  </si>
  <si>
    <t xml:space="preserve">Factores de Escala (SF)</t>
  </si>
  <si>
    <t>SF</t>
  </si>
  <si>
    <t>Descripción</t>
  </si>
  <si>
    <t>Nivel</t>
  </si>
  <si>
    <t>Valor</t>
  </si>
  <si>
    <t>Maturity</t>
  </si>
  <si>
    <t xml:space="preserve">Madurez de Procesos CMMi</t>
  </si>
  <si>
    <t>Nominal</t>
  </si>
  <si>
    <t>PREC</t>
  </si>
  <si>
    <t xml:space="preserve">Precedencia de Proyectos Similares</t>
  </si>
  <si>
    <t>FLEX</t>
  </si>
  <si>
    <t xml:space="preserve">Flexibilidad de Desarrollo</t>
  </si>
  <si>
    <t>TEAM</t>
  </si>
  <si>
    <t xml:space="preserve">Cohesión del Equipo de Desarrollo</t>
  </si>
  <si>
    <t xml:space="preserve">Extremely High</t>
  </si>
  <si>
    <t>RESL</t>
  </si>
  <si>
    <t xml:space="preserve">Resolución de Riesgos y Arquitectura</t>
  </si>
  <si>
    <t xml:space="preserve">Multiplicadores de Esfuerzo (EM)</t>
  </si>
  <si>
    <t>EM</t>
  </si>
  <si>
    <t>RCPX</t>
  </si>
  <si>
    <t xml:space="preserve">Confiabilidad y Complejidad del Sistema</t>
  </si>
  <si>
    <t xml:space="preserve">Extra Low</t>
  </si>
  <si>
    <t>RUSE</t>
  </si>
  <si>
    <t xml:space="preserve">Reusabilidad de Componentes</t>
  </si>
  <si>
    <t>Low</t>
  </si>
  <si>
    <t>PDIF</t>
  </si>
  <si>
    <t xml:space="preserve">Dificultad de Plataforma Hardware</t>
  </si>
  <si>
    <t xml:space="preserve">Very Low</t>
  </si>
  <si>
    <t>PERS</t>
  </si>
  <si>
    <t xml:space="preserve">Capacidad Técnica del Personal</t>
  </si>
  <si>
    <t>High</t>
  </si>
  <si>
    <t>PREX</t>
  </si>
  <si>
    <t xml:space="preserve">Experiencia en Plataforma y Herramientas</t>
  </si>
  <si>
    <t>FCIL</t>
  </si>
  <si>
    <t xml:space="preserve">Facilidades y Herramientas CASE</t>
  </si>
  <si>
    <t>SCED</t>
  </si>
  <si>
    <t xml:space="preserve">Restricción y Presión de Cronograma</t>
  </si>
  <si>
    <t xml:space="preserve">Parámetros y Constantes</t>
  </si>
  <si>
    <t xml:space="preserve">B (Base Exponente)</t>
  </si>
  <si>
    <t xml:space="preserve">A (Constante Multiplicadora)</t>
  </si>
  <si>
    <t xml:space="preserve">E (Exponente Calculado)</t>
  </si>
  <si>
    <t xml:space="preserve">EM (Producto Multiplicadores)</t>
  </si>
  <si>
    <t xml:space="preserve">Consolidado de Dimensionamiento y Esfuerzo</t>
  </si>
  <si>
    <t xml:space="preserve">Tecnología de Implementación</t>
  </si>
  <si>
    <t xml:space="preserve">Java / C++ Embebido</t>
  </si>
  <si>
    <t xml:space="preserve">Puntos de Función (Total FP)</t>
  </si>
  <si>
    <t xml:space="preserve">SLOC por FP</t>
  </si>
  <si>
    <t xml:space="preserve">SLOC Totales</t>
  </si>
  <si>
    <t xml:space="preserve">KSLOC (Size en miles de líneas)</t>
  </si>
  <si>
    <t xml:space="preserve">Esfuerzo COCOMO II (PM - Person-Months)</t>
  </si>
  <si>
    <t xml:space="preserve">Man-Days (19 días laborales por mes)</t>
  </si>
  <si>
    <t xml:space="preserve">Total Horas de Trabajo (8h/día)</t>
  </si>
  <si>
    <t xml:space="preserve">Horas por Punto de Función (Productividad)</t>
  </si>
  <si>
    <t xml:space="preserve">Desglose de Esfuerzo por Fases y Costo del Proyecto ATM</t>
  </si>
  <si>
    <t xml:space="preserve">Categoría / Fase del Ciclo de Vida</t>
  </si>
  <si>
    <t xml:space="preserve">% Distribución</t>
  </si>
  <si>
    <t xml:space="preserve">Esfuerzo (Días)</t>
  </si>
  <si>
    <t xml:space="preserve">Esfuerzo (Horas)</t>
  </si>
  <si>
    <t xml:space="preserve">Tarifa por Hora (S/)</t>
  </si>
  <si>
    <t xml:space="preserve">Costo en Soles (S/)</t>
  </si>
  <si>
    <t xml:space="preserve">Análisis de Requerimientos</t>
  </si>
  <si>
    <t xml:space="preserve">Arquitectura y Diseño</t>
  </si>
  <si>
    <t xml:space="preserve">Desarrollo y Construcción</t>
  </si>
  <si>
    <t xml:space="preserve">Revisión de Cambios de Cliente</t>
  </si>
  <si>
    <t xml:space="preserve">Planificación de Pruebas</t>
  </si>
  <si>
    <t xml:space="preserve">Ejecución de Pruebas y QA</t>
  </si>
  <si>
    <t xml:space="preserve">Corrección de Defectos (Bug Fixes)</t>
  </si>
  <si>
    <t xml:space="preserve">Despliegue y Puesta en Producción</t>
  </si>
  <si>
    <t xml:space="preserve">Planificación del Proyecto</t>
  </si>
  <si>
    <t xml:space="preserve">Monitoreo y Control</t>
  </si>
  <si>
    <t xml:space="preserve">Gestión de Configuración (CM)</t>
  </si>
  <si>
    <t xml:space="preserve">Total Proyecto ATM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</si>
</sst>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S/ #,##0.00"/>
  </numFmts>
  <fonts count="7">
    <font>
      <sz val="11.000000"/>
      <color theme="1"/>
      <name val="Calibri"/>
      <scheme val="minor"/>
    </font>
    <font>
      <b/>
      <sz val="9.000000"/>
      <name val="Arial"/>
    </font>
    <font>
      <b/>
      <sz val="10.000000"/>
      <color indexed="65"/>
      <name val="Arial"/>
    </font>
    <font>
      <sz val="9.000000"/>
      <name val="Arial"/>
    </font>
    <font>
      <b/>
      <sz val="8.000000"/>
      <color indexed="65"/>
      <name val="Arial"/>
    </font>
    <font>
      <b/>
      <sz val="11.000000"/>
      <color rgb="FFC8310E"/>
      <name val="Arial"/>
    </font>
    <font>
      <b/>
      <sz val="10.000000"/>
      <color rgb="FFC8310E"/>
      <name val="Arial"/>
    </font>
  </fonts>
  <fills count="4">
    <fill>
      <patternFill patternType="none"/>
    </fill>
    <fill>
      <patternFill patternType="gray125"/>
    </fill>
    <fill>
      <patternFill patternType="solid">
        <fgColor rgb="FFC8310E"/>
        <bgColor rgb="FFC8310E"/>
      </patternFill>
    </fill>
    <fill>
      <patternFill patternType="solid">
        <fgColor rgb="FFFFF2CC"/>
        <bgColor rgb="FFFFF2C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 quotePrefix="0" pivotButton="0"/>
    <xf fontId="1" fillId="0" borderId="0" numFmtId="0" xfId="0" applyFont="1" quotePrefix="0" pivotButton="0"/>
    <xf fontId="2" fillId="2" borderId="0" numFmtId="0" xfId="0" applyFont="1" applyFill="1" quotePrefix="0" pivotButton="0"/>
    <xf fontId="3" fillId="0" borderId="0" numFmtId="0" xfId="0" applyFont="1" quotePrefix="0" pivotButton="0"/>
    <xf fontId="1" fillId="0" borderId="0" numFmtId="0" xfId="0" applyFont="1" applyAlignment="1" quotePrefix="0" pivotButton="0">
      <alignment horizontal="center"/>
    </xf>
    <xf fontId="4" fillId="2" borderId="0" numFmtId="0" xfId="0" applyFont="1" applyFill="1" applyAlignment="1" quotePrefix="0" pivotButton="0">
      <alignment horizontal="center" vertical="center" wrapText="1"/>
    </xf>
    <xf fontId="3" fillId="0" borderId="1" numFmtId="0" xfId="0" applyFont="1" applyBorder="1" applyAlignment="1" quotePrefix="0" pivotButton="0">
      <alignment horizontal="center"/>
    </xf>
    <xf fontId="1" fillId="0" borderId="1" numFmtId="0" xfId="0" applyFont="1" applyBorder="1" applyAlignment="1" quotePrefix="0" pivotButton="0">
      <alignment horizontal="center"/>
    </xf>
    <xf fontId="3" fillId="0" borderId="1" numFmtId="2" xfId="0" applyNumberFormat="1" applyFont="1" applyBorder="1" applyAlignment="1" quotePrefix="0" pivotButton="0">
      <alignment horizontal="right"/>
    </xf>
    <xf fontId="1" fillId="3" borderId="0" numFmtId="0" xfId="0" applyFont="1" applyFill="1" applyAlignment="1" quotePrefix="0" pivotButton="0">
      <alignment horizontal="center"/>
    </xf>
    <xf fontId="1" fillId="3" borderId="0" numFmtId="2" xfId="0" applyNumberFormat="1" applyFont="1" applyFill="1" quotePrefix="0" pivotButton="0"/>
    <xf fontId="5" fillId="0" borderId="0" numFmtId="0" xfId="0" applyFont="1" quotePrefix="0" pivotButton="0"/>
    <xf fontId="6" fillId="0" borderId="0" numFmtId="0" xfId="0" applyFont="1" quotePrefix="0" pivotButton="0"/>
    <xf fontId="0" fillId="3" borderId="0" numFmtId="2" xfId="0" applyNumberFormat="1" applyFill="1" quotePrefix="0" pivotButton="0"/>
    <xf fontId="2" fillId="2" borderId="0" numFmtId="0" xfId="0" applyFont="1" applyFill="1" applyAlignment="1" quotePrefix="0" pivotButton="0">
      <alignment horizontal="center"/>
    </xf>
    <xf fontId="1" fillId="0" borderId="1" numFmtId="0" xfId="0" applyFont="1" applyBorder="1" quotePrefix="0" pivotButton="0"/>
    <xf fontId="3" fillId="0" borderId="1" numFmtId="164" xfId="0" applyNumberFormat="1" applyFont="1" applyBorder="1" quotePrefix="0" pivotButton="0"/>
    <xf fontId="3" fillId="0" borderId="1" numFmtId="2" xfId="0" applyNumberFormat="1" applyFont="1" applyBorder="1" quotePrefix="0" pivotButton="0"/>
    <xf fontId="3" fillId="0" borderId="1" numFmtId="165" xfId="0" applyNumberFormat="1" applyFont="1" applyBorder="1" quotePrefix="0" pivotButton="0"/>
    <xf fontId="1" fillId="0" borderId="0" numFmtId="164" xfId="0" applyNumberFormat="1" applyFont="1" quotePrefix="0" pivotButton="0"/>
    <xf fontId="1" fillId="3" borderId="0" numFmtId="165" xfId="0" applyNumberFormat="1" applyFont="1" applyFill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/>
      <c r="C1" s="1"/>
    </row>
    <row r="2">
      <c r="A2" s="2" t="s">
        <v>1</v>
      </c>
      <c r="B2" s="2" t="s">
        <v>2</v>
      </c>
      <c r="C2" s="2" t="s">
        <v>3</v>
      </c>
    </row>
    <row r="3">
      <c r="A3" s="1" t="s">
        <v>4</v>
      </c>
      <c r="B3" s="1" t="s">
        <v>5</v>
      </c>
      <c r="C3" s="1">
        <v>7</v>
      </c>
    </row>
    <row r="4">
      <c r="A4" s="3"/>
      <c r="B4" s="1" t="s">
        <v>6</v>
      </c>
      <c r="C4" s="1">
        <v>10</v>
      </c>
    </row>
    <row r="5">
      <c r="A5" s="3"/>
      <c r="B5" s="1" t="s">
        <v>7</v>
      </c>
      <c r="C5" s="1">
        <v>15</v>
      </c>
    </row>
    <row r="6">
      <c r="A6" s="1" t="s">
        <v>8</v>
      </c>
      <c r="B6" s="1" t="s">
        <v>5</v>
      </c>
      <c r="C6" s="1">
        <v>5</v>
      </c>
    </row>
    <row r="7">
      <c r="A7" s="3"/>
      <c r="B7" s="1" t="s">
        <v>6</v>
      </c>
      <c r="C7" s="1">
        <v>7</v>
      </c>
    </row>
    <row r="8">
      <c r="A8" s="3"/>
      <c r="B8" s="1" t="s">
        <v>7</v>
      </c>
      <c r="C8" s="1">
        <v>10</v>
      </c>
    </row>
    <row r="9">
      <c r="A9" s="1" t="s">
        <v>9</v>
      </c>
      <c r="B9" s="1" t="s">
        <v>5</v>
      </c>
      <c r="C9" s="1">
        <v>3</v>
      </c>
    </row>
    <row r="10">
      <c r="A10" s="3"/>
      <c r="B10" s="1" t="s">
        <v>6</v>
      </c>
      <c r="C10" s="1">
        <v>4</v>
      </c>
    </row>
    <row r="11">
      <c r="A11" s="3"/>
      <c r="B11" s="1" t="s">
        <v>7</v>
      </c>
      <c r="C11" s="1">
        <v>6</v>
      </c>
    </row>
    <row r="12">
      <c r="A12" s="1" t="s">
        <v>10</v>
      </c>
      <c r="B12" s="1" t="s">
        <v>5</v>
      </c>
      <c r="C12" s="1">
        <v>4</v>
      </c>
    </row>
    <row r="13">
      <c r="A13" s="3"/>
      <c r="B13" s="1" t="s">
        <v>6</v>
      </c>
      <c r="C13" s="1">
        <v>5</v>
      </c>
    </row>
    <row r="14">
      <c r="A14" s="3"/>
      <c r="B14" s="1" t="s">
        <v>7</v>
      </c>
      <c r="C14" s="1">
        <v>7</v>
      </c>
    </row>
    <row r="15">
      <c r="A15" s="1" t="s">
        <v>11</v>
      </c>
      <c r="B15" s="1" t="s">
        <v>5</v>
      </c>
      <c r="C15" s="1">
        <v>3</v>
      </c>
    </row>
    <row r="16">
      <c r="A16" s="3"/>
      <c r="B16" s="1" t="s">
        <v>6</v>
      </c>
      <c r="C16" s="1">
        <v>4</v>
      </c>
    </row>
    <row r="17">
      <c r="A17" s="3"/>
      <c r="B17" s="1" t="s">
        <v>7</v>
      </c>
      <c r="C17" s="1">
        <v>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5"/>
  <sheetData>
    <row r="1">
      <c r="D1" s="4" t="s">
        <v>4</v>
      </c>
      <c r="G1" s="4" t="s">
        <v>8</v>
      </c>
      <c r="J1" s="4" t="s">
        <v>9</v>
      </c>
      <c r="M1" s="4" t="s">
        <v>10</v>
      </c>
      <c r="P1" s="4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21</v>
      </c>
      <c r="Q2" s="5" t="s">
        <v>22</v>
      </c>
      <c r="R2" s="5" t="s">
        <v>23</v>
      </c>
      <c r="S2" s="5" t="s">
        <v>27</v>
      </c>
      <c r="T2" s="5" t="s">
        <v>28</v>
      </c>
      <c r="U2" s="5" t="s">
        <v>29</v>
      </c>
      <c r="V2" s="5" t="s">
        <v>30</v>
      </c>
    </row>
    <row r="3">
      <c r="A3" s="1" t="s">
        <v>31</v>
      </c>
      <c r="B3" s="3" t="s">
        <v>32</v>
      </c>
      <c r="C3" s="3" t="s">
        <v>33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1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7">
        <f t="shared" ref="S3:S8" si="0">(D3*7+E3*10+F3*15 + G3*5+H3*7+I3*10 + J3*3+K3*4+L3*6 + M3*4+N3*5+O3*7 + P3*3+Q3*4+R3*6)</f>
        <v>4</v>
      </c>
      <c r="T3" s="8">
        <f>S3*(Effort!B36/Effort!B37)</f>
        <v>0.2105263157894737</v>
      </c>
      <c r="U3" s="8">
        <f t="shared" ref="U3:U8" si="1">T3*8</f>
        <v>1.6842105263157896</v>
      </c>
      <c r="V3" s="8">
        <f t="shared" ref="V3:V8" si="2">T3</f>
        <v>0.2105263157894737</v>
      </c>
    </row>
    <row r="4">
      <c r="A4" s="1" t="s">
        <v>34</v>
      </c>
      <c r="B4" s="3" t="s">
        <v>35</v>
      </c>
      <c r="C4" s="3" t="s">
        <v>36</v>
      </c>
      <c r="D4" s="6">
        <v>1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1</v>
      </c>
      <c r="L4" s="6">
        <v>0</v>
      </c>
      <c r="M4" s="6">
        <v>1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7">
        <f t="shared" si="0"/>
        <v>15</v>
      </c>
      <c r="T4" s="8">
        <f>S4*(Effort!B36/Effort!B37)</f>
        <v>0.78947368421052633</v>
      </c>
      <c r="U4" s="8">
        <f t="shared" si="1"/>
        <v>6.3157894736842106</v>
      </c>
      <c r="V4" s="8">
        <f t="shared" si="2"/>
        <v>0.78947368421052633</v>
      </c>
    </row>
    <row r="5">
      <c r="A5" s="1" t="s">
        <v>37</v>
      </c>
      <c r="B5" s="3" t="s">
        <v>38</v>
      </c>
      <c r="C5" s="3" t="s">
        <v>39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2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7">
        <f t="shared" si="0"/>
        <v>8</v>
      </c>
      <c r="T5" s="8">
        <f>S5*(Effort!B36/Effort!B37)</f>
        <v>0.4210526315789474</v>
      </c>
      <c r="U5" s="8">
        <f t="shared" si="1"/>
        <v>3.3684210526315792</v>
      </c>
      <c r="V5" s="8">
        <f t="shared" si="2"/>
        <v>0.4210526315789474</v>
      </c>
    </row>
    <row r="6">
      <c r="A6" s="1" t="s">
        <v>40</v>
      </c>
      <c r="B6" s="3" t="s">
        <v>41</v>
      </c>
      <c r="C6" s="3" t="s">
        <v>42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1</v>
      </c>
      <c r="O6" s="6">
        <v>0</v>
      </c>
      <c r="P6" s="6">
        <v>1</v>
      </c>
      <c r="Q6" s="6">
        <v>1</v>
      </c>
      <c r="R6" s="6">
        <v>0</v>
      </c>
      <c r="S6" s="7">
        <f t="shared" si="0"/>
        <v>12</v>
      </c>
      <c r="T6" s="8">
        <f>S6*(Effort!B36/Effort!B37)</f>
        <v>0.63157894736842113</v>
      </c>
      <c r="U6" s="8">
        <f t="shared" si="1"/>
        <v>5.052631578947369</v>
      </c>
      <c r="V6" s="8">
        <f t="shared" si="2"/>
        <v>0.63157894736842113</v>
      </c>
    </row>
    <row r="7">
      <c r="A7" s="1" t="s">
        <v>43</v>
      </c>
      <c r="B7" s="3" t="s">
        <v>44</v>
      </c>
      <c r="C7" s="3" t="s">
        <v>45</v>
      </c>
      <c r="D7" s="6">
        <v>1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7">
        <f t="shared" si="0"/>
        <v>7</v>
      </c>
      <c r="T7" s="8">
        <f>S7*(Effort!B36/Effort!B37)</f>
        <v>0.36842105263157898</v>
      </c>
      <c r="U7" s="8">
        <f t="shared" si="1"/>
        <v>2.9473684210526319</v>
      </c>
      <c r="V7" s="8">
        <f t="shared" si="2"/>
        <v>0.36842105263157898</v>
      </c>
    </row>
    <row r="8">
      <c r="A8" s="1" t="s">
        <v>46</v>
      </c>
      <c r="B8" s="3" t="s">
        <v>47</v>
      </c>
      <c r="C8" s="3" t="s">
        <v>48</v>
      </c>
      <c r="D8" s="6">
        <v>0</v>
      </c>
      <c r="E8" s="6">
        <v>0</v>
      </c>
      <c r="F8" s="6">
        <v>0</v>
      </c>
      <c r="G8" s="6">
        <v>0</v>
      </c>
      <c r="H8" s="6">
        <v>2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7">
        <f t="shared" si="0"/>
        <v>14</v>
      </c>
      <c r="T8" s="8">
        <f>S8*(Effort!B36/Effort!B37)</f>
        <v>0.73684210526315796</v>
      </c>
      <c r="U8" s="8">
        <f t="shared" si="1"/>
        <v>5.8947368421052637</v>
      </c>
      <c r="V8" s="8">
        <f t="shared" si="2"/>
        <v>0.73684210526315796</v>
      </c>
    </row>
    <row r="9">
      <c r="A9" s="1" t="s">
        <v>49</v>
      </c>
      <c r="S9" s="9">
        <f>SUM(S3:S8)</f>
        <v>60</v>
      </c>
      <c r="T9" s="10">
        <f>SUM(T3:T8)</f>
        <v>3.1578947368421058</v>
      </c>
      <c r="U9" s="10">
        <f>SUM(U3:U8)</f>
        <v>25.263157894736846</v>
      </c>
      <c r="V9" s="10">
        <f>SUM(V3:V8)</f>
        <v>3.1578947368421058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5"/>
  <sheetData>
    <row r="1">
      <c r="A1" s="2" t="s">
        <v>50</v>
      </c>
      <c r="B1" s="2" t="s">
        <v>51</v>
      </c>
      <c r="C1" s="2" t="s">
        <v>52</v>
      </c>
    </row>
    <row r="2">
      <c r="A2" s="1" t="s">
        <v>53</v>
      </c>
      <c r="B2" s="3">
        <v>60</v>
      </c>
      <c r="C2" s="3" t="s">
        <v>54</v>
      </c>
    </row>
    <row r="3">
      <c r="A3" s="1" t="s">
        <v>55</v>
      </c>
      <c r="B3" s="3">
        <v>60</v>
      </c>
      <c r="C3" s="3" t="s">
        <v>56</v>
      </c>
    </row>
    <row r="4">
      <c r="A4" s="1" t="s">
        <v>57</v>
      </c>
      <c r="B4" s="3">
        <v>59</v>
      </c>
      <c r="C4" s="3" t="s">
        <v>58</v>
      </c>
    </row>
    <row r="5">
      <c r="A5" s="1" t="s">
        <v>59</v>
      </c>
      <c r="B5" s="3">
        <v>56</v>
      </c>
      <c r="C5" s="3" t="s">
        <v>60</v>
      </c>
    </row>
    <row r="6">
      <c r="A6" s="1" t="s">
        <v>61</v>
      </c>
      <c r="B6" s="3">
        <v>50</v>
      </c>
      <c r="C6" s="3" t="s">
        <v>62</v>
      </c>
    </row>
    <row r="7">
      <c r="A7" s="1" t="s">
        <v>63</v>
      </c>
      <c r="B7" s="3">
        <v>42</v>
      </c>
      <c r="C7" s="3" t="s">
        <v>64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5"/>
  <sheetData>
    <row r="1">
      <c r="A1" s="11" t="s">
        <v>65</v>
      </c>
    </row>
    <row r="3">
      <c r="A3" s="1" t="s">
        <v>66</v>
      </c>
    </row>
    <row r="4">
      <c r="A4" s="3" t="s">
        <v>67</v>
      </c>
    </row>
    <row r="6">
      <c r="A6" s="1" t="s">
        <v>68</v>
      </c>
    </row>
    <row r="7">
      <c r="A7" s="2" t="s">
        <v>69</v>
      </c>
      <c r="B7" s="2" t="s">
        <v>70</v>
      </c>
      <c r="C7" s="2" t="s">
        <v>71</v>
      </c>
      <c r="D7" s="2" t="s">
        <v>72</v>
      </c>
    </row>
    <row r="8">
      <c r="A8" s="1" t="s">
        <v>73</v>
      </c>
      <c r="B8" s="3" t="s">
        <v>74</v>
      </c>
      <c r="C8" s="3" t="s">
        <v>75</v>
      </c>
      <c r="D8" s="3">
        <v>4.6799999999999997</v>
      </c>
    </row>
    <row r="9">
      <c r="A9" s="1" t="s">
        <v>76</v>
      </c>
      <c r="B9" s="3" t="s">
        <v>77</v>
      </c>
      <c r="C9" s="3" t="s">
        <v>75</v>
      </c>
      <c r="D9" s="3">
        <v>3.7200000000000002</v>
      </c>
    </row>
    <row r="10">
      <c r="A10" s="1" t="s">
        <v>78</v>
      </c>
      <c r="B10" s="3" t="s">
        <v>79</v>
      </c>
      <c r="C10" s="3" t="s">
        <v>75</v>
      </c>
      <c r="D10" s="3">
        <v>2.0299999999999998</v>
      </c>
    </row>
    <row r="11">
      <c r="A11" s="1" t="s">
        <v>80</v>
      </c>
      <c r="B11" s="3" t="s">
        <v>81</v>
      </c>
      <c r="C11" s="3" t="s">
        <v>82</v>
      </c>
      <c r="D11" s="3">
        <v>0</v>
      </c>
    </row>
    <row r="12">
      <c r="A12" s="1" t="s">
        <v>83</v>
      </c>
      <c r="B12" s="3" t="s">
        <v>84</v>
      </c>
      <c r="C12" s="3" t="s">
        <v>75</v>
      </c>
      <c r="D12" s="3">
        <v>2.8300000000000001</v>
      </c>
    </row>
    <row r="14">
      <c r="A14" s="1" t="s">
        <v>85</v>
      </c>
    </row>
    <row r="15">
      <c r="A15" s="2" t="s">
        <v>86</v>
      </c>
      <c r="B15" s="2" t="s">
        <v>70</v>
      </c>
      <c r="C15" s="2" t="s">
        <v>71</v>
      </c>
      <c r="D15" s="2" t="s">
        <v>72</v>
      </c>
    </row>
    <row r="16">
      <c r="A16" s="1" t="s">
        <v>87</v>
      </c>
      <c r="B16" s="3" t="s">
        <v>88</v>
      </c>
      <c r="C16" s="3" t="s">
        <v>89</v>
      </c>
      <c r="D16" s="3">
        <v>0.48999999999999999</v>
      </c>
    </row>
    <row r="17">
      <c r="A17" s="1" t="s">
        <v>90</v>
      </c>
      <c r="B17" s="3" t="s">
        <v>91</v>
      </c>
      <c r="C17" s="3" t="s">
        <v>92</v>
      </c>
      <c r="D17" s="3">
        <v>0.94999999999999996</v>
      </c>
    </row>
    <row r="18">
      <c r="A18" s="1" t="s">
        <v>93</v>
      </c>
      <c r="B18" s="3" t="s">
        <v>94</v>
      </c>
      <c r="C18" s="3" t="s">
        <v>95</v>
      </c>
      <c r="D18" s="3">
        <v>0.87</v>
      </c>
    </row>
    <row r="19">
      <c r="A19" s="1" t="s">
        <v>96</v>
      </c>
      <c r="B19" s="3" t="s">
        <v>97</v>
      </c>
      <c r="C19" s="3" t="s">
        <v>98</v>
      </c>
      <c r="D19" s="3">
        <v>0.82999999999999996</v>
      </c>
    </row>
    <row r="20">
      <c r="A20" s="1" t="s">
        <v>99</v>
      </c>
      <c r="B20" s="3" t="s">
        <v>100</v>
      </c>
      <c r="C20" s="3" t="s">
        <v>98</v>
      </c>
      <c r="D20" s="3">
        <v>0.87</v>
      </c>
    </row>
    <row r="21">
      <c r="A21" s="1" t="s">
        <v>101</v>
      </c>
      <c r="B21" s="3" t="s">
        <v>102</v>
      </c>
      <c r="C21" s="3" t="s">
        <v>98</v>
      </c>
      <c r="D21" s="3">
        <v>0.87</v>
      </c>
    </row>
    <row r="22">
      <c r="A22" s="1" t="s">
        <v>103</v>
      </c>
      <c r="B22" s="3" t="s">
        <v>104</v>
      </c>
      <c r="C22" s="3" t="s">
        <v>75</v>
      </c>
      <c r="D22" s="3">
        <v>1</v>
      </c>
    </row>
    <row r="24">
      <c r="A24" s="1" t="s">
        <v>105</v>
      </c>
    </row>
    <row r="25">
      <c r="A25" s="3" t="s">
        <v>106</v>
      </c>
      <c r="B25">
        <v>0.91000000000000003</v>
      </c>
    </row>
    <row r="26">
      <c r="A26" s="3" t="s">
        <v>107</v>
      </c>
      <c r="B26">
        <v>2.9399999999999999</v>
      </c>
    </row>
    <row r="27">
      <c r="A27" s="1" t="s">
        <v>108</v>
      </c>
      <c r="B27">
        <f>B25+(0.01*SUM(D8:D12))</f>
        <v>1.0426</v>
      </c>
    </row>
    <row r="28">
      <c r="A28" s="1" t="s">
        <v>109</v>
      </c>
      <c r="B28">
        <f>PRODUCT(D16:D22)</f>
        <v>0.25442251159499996</v>
      </c>
    </row>
    <row r="30">
      <c r="A30" s="12" t="s">
        <v>110</v>
      </c>
    </row>
    <row r="31">
      <c r="A31" s="3" t="s">
        <v>111</v>
      </c>
      <c r="B31" t="s">
        <v>112</v>
      </c>
    </row>
    <row r="32">
      <c r="A32" s="1" t="s">
        <v>113</v>
      </c>
      <c r="B32" s="13">
        <f>FPs!S9</f>
        <v>60</v>
      </c>
    </row>
    <row r="33">
      <c r="A33" s="3" t="s">
        <v>114</v>
      </c>
      <c r="B33" s="13">
        <v>60</v>
      </c>
    </row>
    <row r="34">
      <c r="A34" s="3" t="s">
        <v>115</v>
      </c>
      <c r="B34" s="13">
        <f>B32*B33</f>
        <v>3600</v>
      </c>
    </row>
    <row r="35">
      <c r="A35" s="1" t="s">
        <v>116</v>
      </c>
      <c r="B35" s="13">
        <f>B34/1000</f>
        <v>3.6000000000000001</v>
      </c>
    </row>
    <row r="36">
      <c r="A36" s="1" t="s">
        <v>117</v>
      </c>
      <c r="B36" s="13">
        <f>B26*(B35^B27)*B28</f>
        <v>2.8438314531484306</v>
      </c>
    </row>
    <row r="37">
      <c r="A37" s="1" t="s">
        <v>118</v>
      </c>
      <c r="B37" s="13">
        <f>B36*19</f>
        <v>54.032797609820179</v>
      </c>
    </row>
    <row r="38">
      <c r="A38" s="1" t="s">
        <v>119</v>
      </c>
      <c r="B38" s="13">
        <f>B37*8</f>
        <v>432.26238087856143</v>
      </c>
    </row>
    <row r="39">
      <c r="A39" s="1" t="s">
        <v>120</v>
      </c>
      <c r="B39" s="13">
        <f>B38/B32</f>
        <v>7.2043730146426901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4.25"/>
  <cols>
    <col bestFit="1" min="1" max="1" width="59.421875"/>
    <col bestFit="1" min="2" max="2" width="14.00390625"/>
    <col bestFit="1" min="3" max="3" width="14.28125"/>
    <col bestFit="1" min="4" max="4" width="15.57421875"/>
    <col bestFit="1" min="5" max="5" width="17.7109375"/>
    <col bestFit="1" min="6" max="6" width="17.8515625"/>
  </cols>
  <sheetData>
    <row r="1">
      <c r="A1" s="11" t="s">
        <v>121</v>
      </c>
    </row>
    <row r="3">
      <c r="A3" s="14" t="s">
        <v>122</v>
      </c>
      <c r="B3" s="14" t="s">
        <v>123</v>
      </c>
      <c r="C3" s="14" t="s">
        <v>124</v>
      </c>
      <c r="D3" s="14" t="s">
        <v>125</v>
      </c>
      <c r="E3" s="14" t="s">
        <v>126</v>
      </c>
      <c r="F3" s="14" t="s">
        <v>127</v>
      </c>
    </row>
    <row r="4">
      <c r="A4" s="15" t="s">
        <v>128</v>
      </c>
      <c r="B4" s="16">
        <v>0.070000000000000007</v>
      </c>
      <c r="C4" s="17">
        <f>B4*Effort!B37</f>
        <v>3.7822958326874128</v>
      </c>
      <c r="D4" s="17">
        <f t="shared" ref="D4:D9" si="3">C4*8</f>
        <v>30.258366661499302</v>
      </c>
      <c r="E4" s="18">
        <v>20.817912657290901</v>
      </c>
      <c r="F4" s="18">
        <f t="shared" ref="F4:F9" si="4">D4*E4</f>
        <v>629.91603431137537</v>
      </c>
    </row>
    <row r="5">
      <c r="A5" s="15" t="s">
        <v>129</v>
      </c>
      <c r="B5" s="16">
        <v>0.070000000000000007</v>
      </c>
      <c r="C5" s="17">
        <f>B5*Effort!B37</f>
        <v>3.7822958326874128</v>
      </c>
      <c r="D5" s="17">
        <f t="shared" si="3"/>
        <v>30.258366661499302</v>
      </c>
      <c r="E5" s="18">
        <v>20.817912657290901</v>
      </c>
      <c r="F5" s="18">
        <f t="shared" si="4"/>
        <v>629.91603431137537</v>
      </c>
    </row>
    <row r="6">
      <c r="A6" s="15" t="s">
        <v>130</v>
      </c>
      <c r="B6" s="16">
        <v>0.38</v>
      </c>
      <c r="C6" s="17">
        <f>B6*Effort!B37</f>
        <v>20.532463091731668</v>
      </c>
      <c r="D6" s="17">
        <f t="shared" si="3"/>
        <v>164.25970473385334</v>
      </c>
      <c r="E6" s="18">
        <v>20.817912657290901</v>
      </c>
      <c r="F6" s="18">
        <f t="shared" si="4"/>
        <v>3419.5441862617513</v>
      </c>
    </row>
    <row r="7">
      <c r="A7" s="15" t="s">
        <v>131</v>
      </c>
      <c r="B7" s="16">
        <v>0.10000000000000001</v>
      </c>
      <c r="C7" s="17">
        <f>B7*Effort!B37</f>
        <v>5.4032797609820182</v>
      </c>
      <c r="D7" s="17">
        <f t="shared" si="3"/>
        <v>43.226238087856146</v>
      </c>
      <c r="E7" s="18">
        <v>20.817912657290901</v>
      </c>
      <c r="F7" s="18">
        <f t="shared" si="4"/>
        <v>899.8800490162505</v>
      </c>
    </row>
    <row r="8">
      <c r="A8" s="15" t="s">
        <v>132</v>
      </c>
      <c r="B8" s="16">
        <v>0.040000000000000001</v>
      </c>
      <c r="C8" s="17">
        <f>B8*Effort!B37</f>
        <v>2.1613119043928073</v>
      </c>
      <c r="D8" s="17">
        <f t="shared" si="3"/>
        <v>17.290495235142458</v>
      </c>
      <c r="E8" s="18">
        <v>20.817912657290901</v>
      </c>
      <c r="F8" s="18">
        <f t="shared" si="4"/>
        <v>359.95201960650019</v>
      </c>
    </row>
    <row r="9">
      <c r="A9" s="15" t="s">
        <v>133</v>
      </c>
      <c r="B9" s="16">
        <v>0.10000000000000001</v>
      </c>
      <c r="C9" s="17">
        <f>B9*Effort!B37</f>
        <v>5.4032797609820182</v>
      </c>
      <c r="D9" s="17">
        <f t="shared" si="3"/>
        <v>43.226238087856146</v>
      </c>
      <c r="E9" s="18">
        <v>20.817912657290901</v>
      </c>
      <c r="F9" s="18">
        <f t="shared" si="4"/>
        <v>899.8800490162505</v>
      </c>
    </row>
    <row r="10">
      <c r="A10" s="15" t="s">
        <v>134</v>
      </c>
      <c r="B10" s="16">
        <v>0.10000000000000001</v>
      </c>
      <c r="C10" s="17">
        <f>B10*Effort!B37</f>
        <v>5.4032797609820182</v>
      </c>
      <c r="D10" s="17">
        <f t="shared" ref="D10:D14" si="5">C10*8</f>
        <v>43.226238087856146</v>
      </c>
      <c r="E10" s="18">
        <v>20.817912657290901</v>
      </c>
      <c r="F10" s="18">
        <f t="shared" ref="F10:F14" si="6">D10*E10</f>
        <v>899.8800490162505</v>
      </c>
    </row>
    <row r="11">
      <c r="A11" s="15" t="s">
        <v>135</v>
      </c>
      <c r="B11" s="16">
        <v>0.02</v>
      </c>
      <c r="C11" s="17">
        <f>B11*Effort!B37</f>
        <v>1.0806559521964036</v>
      </c>
      <c r="D11" s="17">
        <f t="shared" si="5"/>
        <v>8.6452476175712292</v>
      </c>
      <c r="E11" s="18">
        <v>20.817912657290901</v>
      </c>
      <c r="F11" s="18">
        <f t="shared" si="6"/>
        <v>179.97600980325009</v>
      </c>
    </row>
    <row r="12">
      <c r="A12" s="15" t="s">
        <v>136</v>
      </c>
      <c r="B12" s="16">
        <v>0.02</v>
      </c>
      <c r="C12" s="17">
        <f>B12*Effort!B37</f>
        <v>1.0806559521964036</v>
      </c>
      <c r="D12" s="17">
        <f t="shared" si="5"/>
        <v>8.6452476175712292</v>
      </c>
      <c r="E12" s="18">
        <v>20.817912657290901</v>
      </c>
      <c r="F12" s="18">
        <f t="shared" si="6"/>
        <v>179.97600980325009</v>
      </c>
    </row>
    <row r="13">
      <c r="A13" s="15" t="s">
        <v>137</v>
      </c>
      <c r="B13" s="16">
        <v>0.059999999999999998</v>
      </c>
      <c r="C13" s="17">
        <f>B13*Effort!B37</f>
        <v>3.2419678565892105</v>
      </c>
      <c r="D13" s="17">
        <f t="shared" si="5"/>
        <v>25.935742852713684</v>
      </c>
      <c r="E13" s="18">
        <v>20.817912657290901</v>
      </c>
      <c r="F13" s="18">
        <f t="shared" si="6"/>
        <v>539.92802940975025</v>
      </c>
    </row>
    <row r="14">
      <c r="A14" s="15" t="s">
        <v>138</v>
      </c>
      <c r="B14" s="16">
        <v>0.040000000000000001</v>
      </c>
      <c r="C14" s="17">
        <f>B14*Effort!B37</f>
        <v>2.1613119043928073</v>
      </c>
      <c r="D14" s="17">
        <f t="shared" si="5"/>
        <v>17.290495235142458</v>
      </c>
      <c r="E14" s="18">
        <v>20.817912657290901</v>
      </c>
      <c r="F14" s="18">
        <f t="shared" si="6"/>
        <v>359.95201960650019</v>
      </c>
    </row>
    <row r="15">
      <c r="A15" s="1" t="s">
        <v>139</v>
      </c>
      <c r="B15" s="19">
        <f>SUM(B4:B14)</f>
        <v>1</v>
      </c>
      <c r="C15" s="10">
        <f>SUM(C4:C14)</f>
        <v>54.032797609820165</v>
      </c>
      <c r="D15" s="10">
        <f>SUM(D4:D14)</f>
        <v>432.26238087856132</v>
      </c>
      <c r="F15" s="20">
        <f>SUM(F4:F14)</f>
        <v>8998.8004901625045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2026-09-28T13:28:25Z</dcterms:created>
  <dcterms:modified xsi:type="dcterms:W3CDTF">2026-09-28T15:26:30Z</dcterms:modified>
</cp:coreProperties>
</file>