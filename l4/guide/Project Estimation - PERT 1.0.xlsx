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/Users/ruben/Downloads/"/>
    </mc:Choice>
  </mc:AlternateContent>
  <xr:revisionPtr revIDLastSave="0" documentId="13_ncr:1_{AB81F48E-06C9-E24C-A131-417CC12FE05C}" xr6:coauthVersionLast="47" xr6:coauthVersionMax="47" xr10:uidLastSave="{00000000-0000-0000-0000-000000000000}"/>
  <workbookProtection workbookAlgorithmName="SHA-512" workbookHashValue="AYxKDb9t6YwEi2D6z+rIylwvJAO8SkGdrfRtshg+tFArcyBOL90MssA7mYgC/yZRgW05i/avsw8uKLSK0cfFzg==" workbookSaltValue="39v/Jr1K2uYKgAppHrLlCA==" workbookSpinCount="100000" lockStructure="1"/>
  <bookViews>
    <workbookView xWindow="0" yWindow="840" windowWidth="38400" windowHeight="19540" activeTab="4" xr2:uid="{00000000-000D-0000-FFFF-FFFF00000000}"/>
  </bookViews>
  <sheets>
    <sheet name="Project Dashboard" sheetId="1" r:id="rId1"/>
    <sheet name="Project Estimates" sheetId="2" r:id="rId2"/>
    <sheet name="Sprint Planner" sheetId="3" r:id="rId3"/>
    <sheet name="Resources" sheetId="6" r:id="rId4"/>
    <sheet name="Helpers" sheetId="5" r:id="rId5"/>
  </sheets>
  <definedNames>
    <definedName name="RESOURCE">Resources!$B$1:$B$10</definedName>
    <definedName name="RESOURCETYPE">Helpers!$E$2:$E$4</definedName>
    <definedName name="Status">Helpers!$A$2:$A$6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G6" i="3"/>
  <c r="G8" i="3"/>
  <c r="G9" i="3"/>
  <c r="G11" i="3"/>
  <c r="G12" i="3"/>
  <c r="G13" i="3"/>
  <c r="G14" i="3"/>
  <c r="G16" i="3"/>
  <c r="G17" i="3"/>
  <c r="G18" i="3"/>
  <c r="G20" i="3"/>
  <c r="G22" i="3"/>
  <c r="G23" i="3"/>
  <c r="G25" i="3"/>
  <c r="G26" i="3"/>
  <c r="G28" i="3"/>
  <c r="G29" i="3"/>
  <c r="G31" i="3"/>
  <c r="G32" i="3"/>
  <c r="G34" i="3"/>
  <c r="G35" i="3"/>
  <c r="G36" i="3"/>
  <c r="G37" i="3"/>
  <c r="G38" i="3"/>
  <c r="G39" i="3"/>
  <c r="G41" i="3"/>
  <c r="G42" i="3"/>
  <c r="G43" i="3"/>
  <c r="G44" i="3"/>
  <c r="G45" i="3"/>
  <c r="G46" i="3"/>
  <c r="G47" i="3"/>
  <c r="G48" i="3"/>
  <c r="G50" i="3"/>
  <c r="G52" i="3"/>
  <c r="G54" i="3"/>
  <c r="G55" i="3"/>
  <c r="G57" i="3"/>
  <c r="G58" i="3"/>
  <c r="G60" i="3"/>
  <c r="G61" i="3"/>
  <c r="G3" i="3"/>
  <c r="G4" i="3"/>
  <c r="G5" i="3"/>
  <c r="L10" i="2"/>
  <c r="J9" i="2"/>
  <c r="J10" i="2"/>
  <c r="J11" i="2"/>
  <c r="J12" i="2"/>
  <c r="J13" i="2"/>
  <c r="J14" i="2"/>
  <c r="J15" i="2"/>
  <c r="J16" i="2"/>
  <c r="J17" i="2"/>
  <c r="D14" i="2"/>
  <c r="L14" i="2" s="1"/>
  <c r="D16" i="2"/>
  <c r="D5" i="2"/>
  <c r="D6" i="2"/>
  <c r="D8" i="2"/>
  <c r="D3" i="2"/>
  <c r="D4" i="2"/>
  <c r="D2" i="2"/>
  <c r="J8" i="2"/>
  <c r="H10" i="2"/>
  <c r="I10" i="2" s="1"/>
  <c r="H11" i="2"/>
  <c r="L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9" i="2"/>
  <c r="I9" i="2" s="1"/>
  <c r="J2" i="2"/>
  <c r="J3" i="2"/>
  <c r="J4" i="2"/>
  <c r="J5" i="2"/>
  <c r="J6" i="2"/>
  <c r="J7" i="2"/>
  <c r="I11" i="2" l="1"/>
  <c r="L9" i="2"/>
  <c r="L15" i="2"/>
  <c r="L13" i="2"/>
  <c r="L17" i="2"/>
  <c r="L12" i="2"/>
  <c r="L16" i="2"/>
  <c r="K16" i="2" s="1"/>
  <c r="M2" i="2"/>
  <c r="K15" i="2"/>
  <c r="K10" i="2"/>
  <c r="K14" i="2"/>
  <c r="K9" i="2"/>
  <c r="K17" i="2"/>
  <c r="K13" i="2"/>
  <c r="K12" i="2"/>
  <c r="K11" i="2"/>
  <c r="G3" i="6"/>
  <c r="G4" i="6"/>
  <c r="G5" i="6"/>
  <c r="E4" i="6"/>
  <c r="F4" i="6"/>
  <c r="E5" i="6"/>
  <c r="F5" i="6"/>
  <c r="H8" i="2"/>
  <c r="I8" i="2" s="1"/>
  <c r="H7" i="2"/>
  <c r="H6" i="2"/>
  <c r="I6" i="2" s="1"/>
  <c r="H5" i="2"/>
  <c r="I5" i="2" s="1"/>
  <c r="H4" i="2"/>
  <c r="I4" i="2" s="1"/>
  <c r="H3" i="2"/>
  <c r="I3" i="2" s="1"/>
  <c r="H2" i="2"/>
  <c r="I2" i="2" s="1"/>
  <c r="L8" i="2" l="1"/>
  <c r="L4" i="2"/>
  <c r="K4" i="2" s="1"/>
  <c r="I7" i="2"/>
  <c r="L7" i="2"/>
  <c r="L6" i="2"/>
  <c r="L3" i="2"/>
  <c r="K3" i="2" s="1"/>
  <c r="L5" i="2"/>
  <c r="L2" i="2"/>
  <c r="K2" i="2" s="1"/>
  <c r="E2" i="6"/>
  <c r="E3" i="6"/>
  <c r="G2" i="6"/>
  <c r="F3" i="6"/>
  <c r="F2" i="6"/>
  <c r="K6" i="2"/>
  <c r="K5" i="2" l="1"/>
  <c r="K7" i="2"/>
  <c r="K8" i="2"/>
</calcChain>
</file>

<file path=xl/sharedStrings.xml><?xml version="1.0" encoding="utf-8"?>
<sst xmlns="http://schemas.openxmlformats.org/spreadsheetml/2006/main" count="268" uniqueCount="209">
  <si>
    <t>Project Overview</t>
  </si>
  <si>
    <t>Project Name</t>
  </si>
  <si>
    <t>Work order</t>
  </si>
  <si>
    <t>Client</t>
  </si>
  <si>
    <t>Defined Goals/Project Milestones</t>
  </si>
  <si>
    <t>Total Count</t>
  </si>
  <si>
    <t>Optimistic</t>
  </si>
  <si>
    <t>Most Likely</t>
  </si>
  <si>
    <t>Pessimistic</t>
  </si>
  <si>
    <t>Man Days</t>
  </si>
  <si>
    <t>Man hours</t>
  </si>
  <si>
    <t>Completed Tasks</t>
  </si>
  <si>
    <t>PMID001</t>
  </si>
  <si>
    <t>PMID002</t>
  </si>
  <si>
    <t>PMID003</t>
  </si>
  <si>
    <t>PMID004</t>
  </si>
  <si>
    <t>PMID</t>
  </si>
  <si>
    <t>Task Id</t>
  </si>
  <si>
    <t>Task Description</t>
  </si>
  <si>
    <t>Units Assigned</t>
  </si>
  <si>
    <t>Start Date</t>
  </si>
  <si>
    <t>Status</t>
  </si>
  <si>
    <t>Completed Date</t>
  </si>
  <si>
    <t>Mandays per task</t>
  </si>
  <si>
    <t>Project Status</t>
  </si>
  <si>
    <t>IN-PROGRESS</t>
  </si>
  <si>
    <t>ON-HOLD</t>
  </si>
  <si>
    <t>CANCELLED</t>
  </si>
  <si>
    <t>WITHDRAWN</t>
  </si>
  <si>
    <t>COMPLETED</t>
  </si>
  <si>
    <t>Sprint</t>
  </si>
  <si>
    <t>Cost per Hour ($)</t>
  </si>
  <si>
    <t>#</t>
  </si>
  <si>
    <t>Resource Name</t>
  </si>
  <si>
    <t>Resource Type</t>
  </si>
  <si>
    <t>Designation</t>
  </si>
  <si>
    <t>STAFF</t>
  </si>
  <si>
    <t>AGENCY</t>
  </si>
  <si>
    <t>Current Tasks</t>
  </si>
  <si>
    <t>Assigned Tasks</t>
  </si>
  <si>
    <t>Duration</t>
  </si>
  <si>
    <t>Billing($)</t>
  </si>
  <si>
    <t>Job Assignment</t>
  </si>
  <si>
    <t>PMID005</t>
  </si>
  <si>
    <t>PMID006</t>
  </si>
  <si>
    <t>PMID007</t>
  </si>
  <si>
    <t>Architect</t>
  </si>
  <si>
    <t>Frontend Developer</t>
  </si>
  <si>
    <t>Designer</t>
  </si>
  <si>
    <t>Sprint 1 (22-03-2021)</t>
  </si>
  <si>
    <t>T1001</t>
  </si>
  <si>
    <t>T1002</t>
  </si>
  <si>
    <t>T1003</t>
  </si>
  <si>
    <t>Internal Project</t>
  </si>
  <si>
    <t>Add properties with timer to delete</t>
  </si>
  <si>
    <t>Commission input on New Listing</t>
  </si>
  <si>
    <t>Master Account</t>
  </si>
  <si>
    <t>Neighborhood Search Ability</t>
  </si>
  <si>
    <t>Street view accessible through map view</t>
  </si>
  <si>
    <t>Scroll up photo header on listings</t>
  </si>
  <si>
    <t>Click in photos from header</t>
  </si>
  <si>
    <t>Truncating Description</t>
  </si>
  <si>
    <t>Swipe through photos</t>
  </si>
  <si>
    <t>Notification settings</t>
  </si>
  <si>
    <t>Skip Add Client Contact Details</t>
  </si>
  <si>
    <t>Remove User Name field from Sign Up</t>
  </si>
  <si>
    <t>Terms of Service in Sign Up Linked incorrectly</t>
  </si>
  <si>
    <t>Share listing with client</t>
  </si>
  <si>
    <t>Client Tab</t>
  </si>
  <si>
    <t>Add Contacts from Phone</t>
  </si>
  <si>
    <t>User Story</t>
  </si>
  <si>
    <t>As an agent I would like to add properties with a specific timer so that it may be deleted when the time is up.</t>
  </si>
  <si>
    <t>As an agent I would like to add new listing with specific commission so that other agents may be aware of the incentive on sales</t>
  </si>
  <si>
    <t>As an administrator I would like to create a Master Account that enables me to impersonate users and do actions on their behalf.</t>
  </si>
  <si>
    <t>As an agent I would like to search by neighbourhood so that I may be able to look up avaialble properties in the vicinity</t>
  </si>
  <si>
    <t>As an agent I want a feature to be able to zoom into property and check out the street view so I may be able to view the locality and neighbourhood.</t>
  </si>
  <si>
    <t>PMID008</t>
  </si>
  <si>
    <t>PMID009</t>
  </si>
  <si>
    <t>PMID010</t>
  </si>
  <si>
    <t>PMID011</t>
  </si>
  <si>
    <t>PMID012</t>
  </si>
  <si>
    <t>PMID013</t>
  </si>
  <si>
    <t>PMID014</t>
  </si>
  <si>
    <t>PMID015</t>
  </si>
  <si>
    <t>PMID016</t>
  </si>
  <si>
    <t>As an agent I want to have the feauter to turn off push notifications and select email notification interval so that I can select my preference of receiving emails.</t>
  </si>
  <si>
    <t>As an agent, I would like to add properites or buyer requirements without providing contact details so that I may be able to skip email, messenger or phone contact option.</t>
  </si>
  <si>
    <t>As a voyage user I wish to update both ToC and Privacy policy mapped properly so that any ambigutiy is addressed.</t>
  </si>
  <si>
    <t>As a voyage user I wish to remove user name in luie of email address provided as login credential so that username is no longer a requirement for creating an account</t>
  </si>
  <si>
    <t>As an agent I wish to have the "Share link" feature so that I may be able to freely share any property with others in the team by email or messenger.</t>
  </si>
  <si>
    <t>As an agent, I want to have a client tab, so that I may be able to see my clients and their associated properties or requirements.</t>
  </si>
  <si>
    <t>As an agent I need to have the option to import my contacts from my phone so I can associate with properties and requirements.</t>
  </si>
  <si>
    <t>Create a CRON job to validate active property timers at regular intervals.</t>
  </si>
  <si>
    <t>Update UI to update property option to purge records if checked on specifed data-time.</t>
  </si>
  <si>
    <t>T1004</t>
  </si>
  <si>
    <t>T1005</t>
  </si>
  <si>
    <t xml:space="preserve"> </t>
  </si>
  <si>
    <t>Update UI to add property option to purge records if checked on specifed data-time on pages (Add Property/Edit Property/View Property)</t>
  </si>
  <si>
    <t>Update property table to create new purge record date-time and update new version of API (New Property/Update Property/View Property)</t>
  </si>
  <si>
    <t>Update DB with commission_on_sales field, update API (Add Property/Edit Property/View Property)</t>
  </si>
  <si>
    <t>T1006</t>
  </si>
  <si>
    <t>Update UI to include commission on sales to (Add Property/Edit Property/View Property pages)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</si>
  <si>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</si>
  <si>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</si>
  <si>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</si>
  <si>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</si>
  <si>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</si>
  <si>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</si>
  <si>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</si>
  <si>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</si>
  <si>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 xml:space="preserve">Create new Role SuperAdmin </t>
  </si>
  <si>
    <t>Create API to swich user and log in activity as superadmin acting as X for every transaction with key signature for auditing.  Add API header for impersonated user with superadmin and log to activity.</t>
  </si>
  <si>
    <t xml:space="preserve">Create UI for superadmin account switch user panel with list of users as dropdown.  </t>
  </si>
  <si>
    <t>Create a UI header tag SuperAdmin (X User) if impersonation is active.</t>
  </si>
  <si>
    <t>21/02/2022</t>
  </si>
  <si>
    <t>AWS Senior Engineer</t>
  </si>
  <si>
    <t>Senior Java Developer</t>
  </si>
  <si>
    <t xml:space="preserve">Architect </t>
  </si>
  <si>
    <t>React Native Developer</t>
  </si>
  <si>
    <t>UX Designer</t>
  </si>
  <si>
    <t>Test Engineer</t>
  </si>
  <si>
    <t>App Tester</t>
  </si>
  <si>
    <t>Create search API to search by neighbour hood (keyword match)</t>
  </si>
  <si>
    <t>Identify if neighbourhood or keyword search is suppored by MLS and integrate the same</t>
  </si>
  <si>
    <t>Update UI to allow new search by Neighbourhood (cosmetic chages to labels)</t>
  </si>
  <si>
    <t>Map view to include integration with street view on property popup or street view marker in popup.</t>
  </si>
  <si>
    <t>W01022022</t>
  </si>
  <si>
    <t>Create a Cron job to check schdule and dispatch email based on preference (daily/weekly)</t>
  </si>
  <si>
    <t>Update current push notification model to validate if push_notificaiton is enabled before posting</t>
  </si>
  <si>
    <t>Create a mail_notification table and add mailing_interval_preference (daily/weekly/monthly) in contact table</t>
  </si>
  <si>
    <t>Remove current email dispatch function and replace with store email to email_digest table</t>
  </si>
  <si>
    <t>Create a new field is_push_notification_enabled in contact table</t>
  </si>
  <si>
    <t>In UI user profile create new push_notification and mail_interval_presence fields and also update the same in registration forms and add client screens</t>
  </si>
  <si>
    <t>Update add contact table to make email and phone optional in Add Property/Update Property - Client tab</t>
  </si>
  <si>
    <t>Remove username field in registration form, no changes will be requried (the username is permenant/emails can change over time) login is already changed to email, no other update required)</t>
  </si>
  <si>
    <t>Update ToC &amp; Privacy Policy links on Registration form and in the app.</t>
  </si>
  <si>
    <t>Create an API to share properties on Voyage or MLS</t>
  </si>
  <si>
    <t>For UI add social media share plugin to share content and include in all property card/view property details pages</t>
  </si>
  <si>
    <t>Create Client Tab as Contacts, on clicking any contact show both buyer requirements/properties on offer</t>
  </si>
  <si>
    <t>Update API changes to existing client listing.</t>
  </si>
  <si>
    <t xml:space="preserve">Create API to import phone contact to contacts table </t>
  </si>
  <si>
    <t>Use react native module to import phone contacts, in profile add Sync Contacts on phone option.</t>
  </si>
  <si>
    <t>Update add contact table to make email and phone optional in Add/Update Buyer Requirement - Client tab</t>
  </si>
  <si>
    <t>Update View Buyer Requirement screen and show call/text/email only if client details are present or for other users, primary agent details are displayed</t>
  </si>
  <si>
    <t>Update View property details screen and show call/text/email only if client details are present or for other users, primary agent details are displayed</t>
  </si>
  <si>
    <t>Display contact phone/email/message on list my properties card view only when present</t>
  </si>
  <si>
    <t>In Matched properties view, disable email, request site visit to be enabled only if client details are present</t>
  </si>
  <si>
    <t>In search view, remove contact details of own properties in search if the client details are not present.</t>
  </si>
  <si>
    <t>In link new properties, search view do likewise.</t>
  </si>
  <si>
    <t>As an agent I wish to have the property address and details as static header and a scrollable details view so that I may be able to see the current property details in view.</t>
  </si>
  <si>
    <t>In View Property Details add Header and scrollable content view</t>
  </si>
  <si>
    <t>In View Buyer Requirement Details add Header and scrollable content view</t>
  </si>
  <si>
    <t>As an agent I would like to view all photos on a gallery view on right swipe of property details view so that I can quickly swich between details and photos</t>
  </si>
  <si>
    <t>T1015</t>
  </si>
  <si>
    <t>T1016</t>
  </si>
  <si>
    <t>T1017</t>
  </si>
  <si>
    <t>Create  new right swipe gallery section in property details view</t>
  </si>
  <si>
    <t>Create a new gallery to show thumbnails of all photos with click to view option.</t>
  </si>
  <si>
    <t>T1018</t>
  </si>
  <si>
    <t>As an agent I would like to update all descriptions with (Read more/Read less icons) to show a brief of the descriptions in View Property Details and View Buyer Requirements so that more relevant content may not be obscured.</t>
  </si>
  <si>
    <t>Update property detail view descriptions with script to handle read more/read less based on content length</t>
  </si>
  <si>
    <t>Update buyer requirement view descriptonis with script to handle read more/read less based on content length</t>
  </si>
  <si>
    <t>T1019</t>
  </si>
  <si>
    <t>T1020</t>
  </si>
  <si>
    <t>As an agent I would like view search and see results on map to swipe through all properties on a map by appending a property view, and similar swipe through all photo views on property details so that the agent can quick view all related properties and photos.</t>
  </si>
  <si>
    <t>T1021</t>
  </si>
  <si>
    <t>T1022</t>
  </si>
  <si>
    <t xml:space="preserve">Update map view with images of properties in the current view which can be swiped though the image area below the map </t>
  </si>
  <si>
    <t>Update property details view with all photos loaded in the image view that can be swiped to the next consequtive image of the property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</si>
  <si>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</si>
  <si>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</si>
  <si>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</si>
  <si>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</si>
  <si>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</si>
  <si>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</si>
  <si>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</si>
  <si>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</si>
  <si>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</si>
  <si>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</si>
  <si>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</si>
  <si>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</si>
  <si>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</si>
  <si>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</si>
  <si>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</si>
  <si>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</si>
  <si>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</si>
  <si>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</si>
  <si>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</si>
  <si>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</si>
  <si>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</si>
  <si>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</si>
  <si>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Actual Cost($)</t>
  </si>
  <si>
    <t>Sprint 2</t>
  </si>
  <si>
    <t>Sprint 3</t>
  </si>
  <si>
    <t xml:space="preserve">Sprint 4 </t>
  </si>
  <si>
    <t>Sprint 5</t>
  </si>
  <si>
    <t>Sprint 6</t>
  </si>
  <si>
    <t>Sprint 7</t>
  </si>
  <si>
    <t>Sprint 8</t>
  </si>
  <si>
    <t>Sprint 9</t>
  </si>
  <si>
    <t>Sprint 10</t>
  </si>
  <si>
    <t>Sprint 11</t>
  </si>
  <si>
    <t>Sprint 12</t>
  </si>
  <si>
    <t>Sprint 13</t>
  </si>
  <si>
    <t>Sprint 14</t>
  </si>
  <si>
    <t>Sprint 15</t>
  </si>
  <si>
    <t>Sprint 16</t>
  </si>
  <si>
    <t>Agent App</t>
  </si>
  <si>
    <t>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</si>
</sst>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1"/>
      <color rgb="FF5F6368"/>
      <name val="Segoe UI"/>
      <family val="2"/>
    </font>
    <font>
      <sz val="11"/>
      <name val="Arial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3" borderId="0" xfId="0" applyFill="1"/>
    <xf numFmtId="0" fontId="0" fillId="2" borderId="0" xfId="0" applyFill="1" applyAlignment="1">
      <alignment horizontal="center"/>
    </xf>
    <xf numFmtId="0" fontId="0" fillId="4" borderId="0" xfId="0" applyFill="1"/>
    <xf numFmtId="14" fontId="0" fillId="0" borderId="0" xfId="0" applyNumberFormat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14" fontId="6" fillId="5" borderId="0" xfId="0" applyNumberFormat="1" applyFont="1" applyFill="1" applyAlignment="1">
      <alignment horizontal="center" vertical="center" wrapText="1"/>
    </xf>
    <xf numFmtId="0" fontId="0" fillId="6" borderId="0" xfId="0" applyFill="1"/>
    <xf numFmtId="2" fontId="0" fillId="2" borderId="0" xfId="0" applyNumberFormat="1" applyFill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0" borderId="0" xfId="0" applyFill="1"/>
    <xf numFmtId="0" fontId="5" fillId="0" borderId="0" xfId="0" applyFont="1" applyFill="1"/>
    <xf numFmtId="0" fontId="0" fillId="7" borderId="0" xfId="0" applyFill="1"/>
    <xf numFmtId="0" fontId="0" fillId="7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wrapText="1"/>
    </xf>
    <xf numFmtId="0" fontId="2" fillId="3" borderId="0" xfId="0" applyFont="1" applyFill="1" applyProtection="1"/>
    <xf numFmtId="2" fontId="6" fillId="5" borderId="0" xfId="0" applyNumberFormat="1" applyFont="1" applyFill="1" applyAlignment="1" applyProtection="1">
      <alignment horizontal="center" vertical="center"/>
    </xf>
    <xf numFmtId="0" fontId="6" fillId="5" borderId="0" xfId="0" applyFont="1" applyFill="1" applyAlignment="1" applyProtection="1">
      <alignment horizontal="center" vertical="center"/>
    </xf>
    <xf numFmtId="2" fontId="0" fillId="2" borderId="0" xfId="0" applyNumberFormat="1" applyFill="1" applyAlignment="1" applyProtection="1">
      <alignment horizontal="center" vertical="center"/>
    </xf>
    <xf numFmtId="0" fontId="0" fillId="2" borderId="0" xfId="0" applyFill="1" applyAlignment="1" applyProtection="1">
      <alignment horizontal="center" vertical="center"/>
    </xf>
    <xf numFmtId="0" fontId="2" fillId="3" borderId="0" xfId="0" applyFont="1" applyFill="1" applyProtection="1">
      <protection locked="0"/>
    </xf>
    <xf numFmtId="0" fontId="7" fillId="0" borderId="0" xfId="0" applyFont="1" applyProtection="1">
      <protection locked="0"/>
    </xf>
    <xf numFmtId="14" fontId="2" fillId="3" borderId="0" xfId="0" applyNumberFormat="1" applyFont="1" applyFill="1" applyAlignment="1" applyProtection="1">
      <alignment horizontal="left"/>
      <protection locked="0"/>
    </xf>
    <xf numFmtId="0" fontId="6" fillId="5" borderId="0" xfId="0" applyFont="1" applyFill="1" applyAlignment="1" applyProtection="1">
      <alignment horizontal="left" vertical="center" wrapText="1"/>
      <protection locked="0"/>
    </xf>
    <xf numFmtId="0" fontId="6" fillId="5" borderId="0" xfId="0" applyFont="1" applyFill="1" applyAlignment="1" applyProtection="1">
      <alignment horizontal="center" vertical="center"/>
      <protection locked="0"/>
    </xf>
    <xf numFmtId="0" fontId="5" fillId="0" borderId="0" xfId="0" applyFont="1" applyFill="1" applyAlignment="1" applyProtection="1">
      <alignment horizontal="left" vertical="center" wrapText="1"/>
      <protection locked="0"/>
    </xf>
    <xf numFmtId="0" fontId="5" fillId="0" borderId="0" xfId="0" applyFont="1" applyFill="1" applyAlignment="1" applyProtection="1">
      <alignment horizontal="center" vertical="center"/>
      <protection locked="0"/>
    </xf>
    <xf numFmtId="0" fontId="0" fillId="0" borderId="0" xfId="0" applyFill="1" applyAlignment="1" applyProtection="1">
      <alignment horizontal="left" vertical="center" wrapText="1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6" fillId="5" borderId="0" xfId="0" applyFont="1" applyFill="1" applyAlignment="1" applyProtection="1">
      <alignment horizontal="left" vertical="center"/>
    </xf>
    <xf numFmtId="0" fontId="0" fillId="0" borderId="0" xfId="0" applyAlignment="1" applyProtection="1">
      <alignment horizontal="center" vertical="center"/>
    </xf>
  </cellXfs>
  <cellStyles count="2">
    <cellStyle name="Normal" xfId="0" builtinId="0"/>
    <cellStyle name="Normal 2" xfId="1" xr:uid="{A1B868AE-7ADE-421F-B89D-84ACA6CFD9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19651131098393"/>
          <c:y val="2.4154589371980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'Project Estimates'!$H$1</c:f>
              <c:strCache>
                <c:ptCount val="1"/>
                <c:pt idx="0">
                  <c:v>Man Days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'Project Estimates'!$B$2:$B$18</c:f>
              <c:strCache>
                <c:ptCount val="16"/>
                <c:pt idx="0">
                  <c:v>Add properties with timer to delete</c:v>
                </c:pt>
                <c:pt idx="1">
                  <c:v>Commission input on New Listing</c:v>
                </c:pt>
                <c:pt idx="2">
                  <c:v>Master Account</c:v>
                </c:pt>
                <c:pt idx="3">
                  <c:v>Neighborhood Search Ability</c:v>
                </c:pt>
                <c:pt idx="4">
                  <c:v>Street view accessible through map view</c:v>
                </c:pt>
                <c:pt idx="5">
                  <c:v>Scroll up photo header on listings</c:v>
                </c:pt>
                <c:pt idx="6">
                  <c:v>Click in photos from header</c:v>
                </c:pt>
                <c:pt idx="7">
                  <c:v>Truncating Description</c:v>
                </c:pt>
                <c:pt idx="8">
                  <c:v>Swipe through photos</c:v>
                </c:pt>
                <c:pt idx="9">
                  <c:v>Notification settings</c:v>
                </c:pt>
                <c:pt idx="10">
                  <c:v>Skip Add Client Contact Details</c:v>
                </c:pt>
                <c:pt idx="11">
                  <c:v>Remove User Name field from Sign Up</c:v>
                </c:pt>
                <c:pt idx="12">
                  <c:v>Terms of Service in Sign Up Linked incorrectly</c:v>
                </c:pt>
                <c:pt idx="13">
                  <c:v>Share listing with client</c:v>
                </c:pt>
                <c:pt idx="14">
                  <c:v>Client Tab</c:v>
                </c:pt>
                <c:pt idx="15">
                  <c:v>Add Contacts from Phone</c:v>
                </c:pt>
              </c:strCache>
            </c:strRef>
          </c:cat>
          <c:val>
            <c:numRef>
              <c:f>'Project Estimates'!$H$2:$H$18</c:f>
              <c:numCache>
                <c:formatCode>0.00</c:formatCode>
                <c:ptCount val="17"/>
                <c:pt idx="0">
                  <c:v>4</c:v>
                </c:pt>
                <c:pt idx="1">
                  <c:v>3.1666666666666665</c:v>
                </c:pt>
                <c:pt idx="2">
                  <c:v>7.166666666666667</c:v>
                </c:pt>
                <c:pt idx="3">
                  <c:v>2</c:v>
                </c:pt>
                <c:pt idx="4">
                  <c:v>2</c:v>
                </c:pt>
                <c:pt idx="5">
                  <c:v>5</c:v>
                </c:pt>
                <c:pt idx="6">
                  <c:v>3.1666666666666665</c:v>
                </c:pt>
                <c:pt idx="7">
                  <c:v>3.1666666666666665</c:v>
                </c:pt>
                <c:pt idx="8">
                  <c:v>10</c:v>
                </c:pt>
                <c:pt idx="9">
                  <c:v>7</c:v>
                </c:pt>
                <c:pt idx="10">
                  <c:v>12</c:v>
                </c:pt>
                <c:pt idx="11">
                  <c:v>1</c:v>
                </c:pt>
                <c:pt idx="12">
                  <c:v>1</c:v>
                </c:pt>
                <c:pt idx="13">
                  <c:v>3.1666666666666665</c:v>
                </c:pt>
                <c:pt idx="14">
                  <c:v>5</c:v>
                </c:pt>
                <c:pt idx="1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58-4183-B6F6-1C1C9009C0A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59632543"/>
        <c:axId val="2042903535"/>
      </c:barChart>
      <c:catAx>
        <c:axId val="459632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903535"/>
        <c:crosses val="autoZero"/>
        <c:auto val="1"/>
        <c:lblAlgn val="ctr"/>
        <c:lblOffset val="100"/>
        <c:noMultiLvlLbl val="0"/>
      </c:catAx>
      <c:valAx>
        <c:axId val="204290353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63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IN" sz="18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75000"/>
                    <a:lumOff val="25000"/>
                  </a:sysClr>
                </a:solidFill>
                <a:effectLst/>
                <a:uLnTx/>
                <a:uFillTx/>
                <a:latin typeface="Calibri" panose="020F0502020204030204"/>
              </a:rPr>
              <a:t>Progress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'Project Estimates'!$D$1</c:f>
              <c:strCache>
                <c:ptCount val="1"/>
                <c:pt idx="0">
                  <c:v>Total Count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'Project Estimates'!$B$2:$B$18</c:f>
              <c:strCache>
                <c:ptCount val="16"/>
                <c:pt idx="0">
                  <c:v>Add properties with timer to delete</c:v>
                </c:pt>
                <c:pt idx="1">
                  <c:v>Commission input on New Listing</c:v>
                </c:pt>
                <c:pt idx="2">
                  <c:v>Master Account</c:v>
                </c:pt>
                <c:pt idx="3">
                  <c:v>Neighborhood Search Ability</c:v>
                </c:pt>
                <c:pt idx="4">
                  <c:v>Street view accessible through map view</c:v>
                </c:pt>
                <c:pt idx="5">
                  <c:v>Scroll up photo header on listings</c:v>
                </c:pt>
                <c:pt idx="6">
                  <c:v>Click in photos from header</c:v>
                </c:pt>
                <c:pt idx="7">
                  <c:v>Truncating Description</c:v>
                </c:pt>
                <c:pt idx="8">
                  <c:v>Swipe through photos</c:v>
                </c:pt>
                <c:pt idx="9">
                  <c:v>Notification settings</c:v>
                </c:pt>
                <c:pt idx="10">
                  <c:v>Skip Add Client Contact Details</c:v>
                </c:pt>
                <c:pt idx="11">
                  <c:v>Remove User Name field from Sign Up</c:v>
                </c:pt>
                <c:pt idx="12">
                  <c:v>Terms of Service in Sign Up Linked incorrectly</c:v>
                </c:pt>
                <c:pt idx="13">
                  <c:v>Share listing with client</c:v>
                </c:pt>
                <c:pt idx="14">
                  <c:v>Client Tab</c:v>
                </c:pt>
                <c:pt idx="15">
                  <c:v>Add Contacts from Phone</c:v>
                </c:pt>
              </c:strCache>
            </c:strRef>
          </c:cat>
          <c:val>
            <c:numRef>
              <c:f>'Project Estimates'!$D$2:$D$18</c:f>
              <c:numCache>
                <c:formatCode>General</c:formatCode>
                <c:ptCount val="17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6</c:v>
                </c:pt>
                <c:pt idx="10">
                  <c:v>8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E-4296-8CE2-CF39A2876656}"/>
            </c:ext>
          </c:extLst>
        </c:ser>
        <c:ser>
          <c:idx val="1"/>
          <c:order val="1"/>
          <c:tx>
            <c:strRef>
              <c:f>'Project Estimates'!$J$1</c:f>
              <c:strCache>
                <c:ptCount val="1"/>
                <c:pt idx="0">
                  <c:v>Completed Tasks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'Project Estimates'!$B$2:$B$18</c:f>
              <c:strCache>
                <c:ptCount val="16"/>
                <c:pt idx="0">
                  <c:v>Add properties with timer to delete</c:v>
                </c:pt>
                <c:pt idx="1">
                  <c:v>Commission input on New Listing</c:v>
                </c:pt>
                <c:pt idx="2">
                  <c:v>Master Account</c:v>
                </c:pt>
                <c:pt idx="3">
                  <c:v>Neighborhood Search Ability</c:v>
                </c:pt>
                <c:pt idx="4">
                  <c:v>Street view accessible through map view</c:v>
                </c:pt>
                <c:pt idx="5">
                  <c:v>Scroll up photo header on listings</c:v>
                </c:pt>
                <c:pt idx="6">
                  <c:v>Click in photos from header</c:v>
                </c:pt>
                <c:pt idx="7">
                  <c:v>Truncating Description</c:v>
                </c:pt>
                <c:pt idx="8">
                  <c:v>Swipe through photos</c:v>
                </c:pt>
                <c:pt idx="9">
                  <c:v>Notification settings</c:v>
                </c:pt>
                <c:pt idx="10">
                  <c:v>Skip Add Client Contact Details</c:v>
                </c:pt>
                <c:pt idx="11">
                  <c:v>Remove User Name field from Sign Up</c:v>
                </c:pt>
                <c:pt idx="12">
                  <c:v>Terms of Service in Sign Up Linked incorrectly</c:v>
                </c:pt>
                <c:pt idx="13">
                  <c:v>Share listing with client</c:v>
                </c:pt>
                <c:pt idx="14">
                  <c:v>Client Tab</c:v>
                </c:pt>
                <c:pt idx="15">
                  <c:v>Add Contacts from Phone</c:v>
                </c:pt>
              </c:strCache>
            </c:strRef>
          </c:cat>
          <c:val>
            <c:numRef>
              <c:f>'Project Estimates'!$J$2:$J$18</c:f>
              <c:numCache>
                <c:formatCode>General</c:formatCode>
                <c:ptCount val="17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BE-4296-8CE2-CF39A287665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94877647"/>
        <c:axId val="1194865999"/>
      </c:barChart>
      <c:catAx>
        <c:axId val="1194877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865999"/>
        <c:crosses val="autoZero"/>
        <c:auto val="1"/>
        <c:lblAlgn val="ctr"/>
        <c:lblOffset val="100"/>
        <c:noMultiLvlLbl val="0"/>
      </c:catAx>
      <c:valAx>
        <c:axId val="11948659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87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Resource Utilization</a:t>
            </a:r>
          </a:p>
        </c:rich>
      </c:tx>
      <c:layout>
        <c:manualLayout>
          <c:xMode val="edge"/>
          <c:yMode val="edge"/>
          <c:x val="0.28857999454892336"/>
          <c:y val="2.89855072463768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Resources!$E$1</c:f>
              <c:strCache>
                <c:ptCount val="1"/>
                <c:pt idx="0">
                  <c:v>Assigned Tasks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Resources!$B$2:$B$6</c:f>
              <c:strCache>
                <c:ptCount val="5"/>
                <c:pt idx="0">
                  <c:v>Architect </c:v>
                </c:pt>
                <c:pt idx="1">
                  <c:v>Senior Java Developer</c:v>
                </c:pt>
                <c:pt idx="2">
                  <c:v>Frontend Developer</c:v>
                </c:pt>
                <c:pt idx="3">
                  <c:v>UX Designer</c:v>
                </c:pt>
                <c:pt idx="4">
                  <c:v>Test Engineer</c:v>
                </c:pt>
              </c:strCache>
            </c:strRef>
          </c:cat>
          <c:val>
            <c:numRef>
              <c:f>Resources!$E$2:$E$6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82-41B4-993E-4E8E5623D81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68879135"/>
        <c:axId val="2053704127"/>
      </c:barChart>
      <c:catAx>
        <c:axId val="468879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704127"/>
        <c:crosses val="autoZero"/>
        <c:auto val="1"/>
        <c:lblAlgn val="ctr"/>
        <c:lblOffset val="100"/>
        <c:noMultiLvlLbl val="0"/>
      </c:catAx>
      <c:valAx>
        <c:axId val="2053704127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68879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Project Billing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'Project Estimates'!$K$1</c:f>
              <c:strCache>
                <c:ptCount val="1"/>
                <c:pt idx="0">
                  <c:v>Billing($)</c:v>
                </c:pt>
              </c:strCache>
            </c:strRef>
          </c:tx>
          <c:spPr>
            <a:ln w="31750" cap="rnd">
              <a:solidFill>
                <a:schemeClr val="accent1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'Project Estimates'!$B$2:$B$18</c:f>
              <c:strCache>
                <c:ptCount val="16"/>
                <c:pt idx="0">
                  <c:v>Add properties with timer to delete</c:v>
                </c:pt>
                <c:pt idx="1">
                  <c:v>Commission input on New Listing</c:v>
                </c:pt>
                <c:pt idx="2">
                  <c:v>Master Account</c:v>
                </c:pt>
                <c:pt idx="3">
                  <c:v>Neighborhood Search Ability</c:v>
                </c:pt>
                <c:pt idx="4">
                  <c:v>Street view accessible through map view</c:v>
                </c:pt>
                <c:pt idx="5">
                  <c:v>Scroll up photo header on listings</c:v>
                </c:pt>
                <c:pt idx="6">
                  <c:v>Click in photos from header</c:v>
                </c:pt>
                <c:pt idx="7">
                  <c:v>Truncating Description</c:v>
                </c:pt>
                <c:pt idx="8">
                  <c:v>Swipe through photos</c:v>
                </c:pt>
                <c:pt idx="9">
                  <c:v>Notification settings</c:v>
                </c:pt>
                <c:pt idx="10">
                  <c:v>Skip Add Client Contact Details</c:v>
                </c:pt>
                <c:pt idx="11">
                  <c:v>Remove User Name field from Sign Up</c:v>
                </c:pt>
                <c:pt idx="12">
                  <c:v>Terms of Service in Sign Up Linked incorrectly</c:v>
                </c:pt>
                <c:pt idx="13">
                  <c:v>Share listing with client</c:v>
                </c:pt>
                <c:pt idx="14">
                  <c:v>Client Tab</c:v>
                </c:pt>
                <c:pt idx="15">
                  <c:v>Add Contacts from Phone</c:v>
                </c:pt>
              </c:strCache>
            </c:strRef>
          </c:cat>
          <c:val>
            <c:numRef>
              <c:f>'Project Estimates'!$M$2:$M$18</c:f>
              <c:numCache>
                <c:formatCode>General</c:formatCode>
                <c:ptCount val="17"/>
                <c:pt idx="0">
                  <c:v>480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BC-4250-B46F-1F1115DF4C3D}"/>
            </c:ext>
          </c:extLst>
        </c:ser>
        <c:ser>
          <c:idx val="1"/>
          <c:order val="1"/>
          <c:tx>
            <c:strRef>
              <c:f>'Project Estimates'!$M$1</c:f>
              <c:strCache>
                <c:ptCount val="1"/>
                <c:pt idx="0">
                  <c:v>Actual Cost($)</c:v>
                </c:pt>
              </c:strCache>
            </c:strRef>
          </c:tx>
          <c:spPr>
            <a:ln w="31750" cap="rnd">
              <a:solidFill>
                <a:schemeClr val="accent2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'Project Estimates'!$B$2:$B$18</c:f>
              <c:strCache>
                <c:ptCount val="16"/>
                <c:pt idx="0">
                  <c:v>Add properties with timer to delete</c:v>
                </c:pt>
                <c:pt idx="1">
                  <c:v>Commission input on New Listing</c:v>
                </c:pt>
                <c:pt idx="2">
                  <c:v>Master Account</c:v>
                </c:pt>
                <c:pt idx="3">
                  <c:v>Neighborhood Search Ability</c:v>
                </c:pt>
                <c:pt idx="4">
                  <c:v>Street view accessible through map view</c:v>
                </c:pt>
                <c:pt idx="5">
                  <c:v>Scroll up photo header on listings</c:v>
                </c:pt>
                <c:pt idx="6">
                  <c:v>Click in photos from header</c:v>
                </c:pt>
                <c:pt idx="7">
                  <c:v>Truncating Description</c:v>
                </c:pt>
                <c:pt idx="8">
                  <c:v>Swipe through photos</c:v>
                </c:pt>
                <c:pt idx="9">
                  <c:v>Notification settings</c:v>
                </c:pt>
                <c:pt idx="10">
                  <c:v>Skip Add Client Contact Details</c:v>
                </c:pt>
                <c:pt idx="11">
                  <c:v>Remove User Name field from Sign Up</c:v>
                </c:pt>
                <c:pt idx="12">
                  <c:v>Terms of Service in Sign Up Linked incorrectly</c:v>
                </c:pt>
                <c:pt idx="13">
                  <c:v>Share listing with client</c:v>
                </c:pt>
                <c:pt idx="14">
                  <c:v>Client Tab</c:v>
                </c:pt>
                <c:pt idx="15">
                  <c:v>Add Contacts from Phone</c:v>
                </c:pt>
              </c:strCache>
            </c:strRef>
          </c:cat>
          <c:val>
            <c:numRef>
              <c:f>'Project Estimates'!$M$2:$M$18</c:f>
              <c:numCache>
                <c:formatCode>General</c:formatCode>
                <c:ptCount val="17"/>
                <c:pt idx="0">
                  <c:v>480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BC-4250-B46F-1F1115DF4C3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60376863"/>
        <c:axId val="468323055"/>
      </c:lineChart>
      <c:catAx>
        <c:axId val="460376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323055"/>
        <c:crosses val="autoZero"/>
        <c:auto val="1"/>
        <c:lblAlgn val="ctr"/>
        <c:lblOffset val="100"/>
        <c:noMultiLvlLbl val="0"/>
      </c:catAx>
      <c:valAx>
        <c:axId val="46832305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60376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jpe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6</xdr:row>
      <xdr:rowOff>2856</xdr:rowOff>
    </xdr:from>
    <xdr:to>
      <xdr:col>1</xdr:col>
      <xdr:colOff>2928937</xdr:colOff>
      <xdr:row>28</xdr:row>
      <xdr:rowOff>106680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D41EE53-368F-4134-9CF9-04A93725BE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3033712</xdr:colOff>
      <xdr:row>5</xdr:row>
      <xdr:rowOff>167640</xdr:rowOff>
    </xdr:from>
    <xdr:to>
      <xdr:col>1</xdr:col>
      <xdr:colOff>7605712</xdr:colOff>
      <xdr:row>28</xdr:row>
      <xdr:rowOff>106679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94A669D-C681-43FA-9013-7B4B081AC6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116205</xdr:colOff>
      <xdr:row>29</xdr:row>
      <xdr:rowOff>37146</xdr:rowOff>
    </xdr:from>
    <xdr:to>
      <xdr:col>1</xdr:col>
      <xdr:colOff>2916555</xdr:colOff>
      <xdr:row>51</xdr:row>
      <xdr:rowOff>114300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779187AF-7EEA-4FAD-BBE5-9258762CE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3033712</xdr:colOff>
      <xdr:row>29</xdr:row>
      <xdr:rowOff>29526</xdr:rowOff>
    </xdr:from>
    <xdr:to>
      <xdr:col>1</xdr:col>
      <xdr:colOff>7605712</xdr:colOff>
      <xdr:row>51</xdr:row>
      <xdr:rowOff>99060</xdr:rowOff>
    </xdr:to>
    <xdr:graphicFrame macro="">
      <xdr:nvGraphicFramePr>
        <xdr:cNvPr id="10" name="Chart 8">
          <a:extLst>
            <a:ext uri="{FF2B5EF4-FFF2-40B4-BE49-F238E27FC236}">
              <a16:creationId xmlns:a16="http://schemas.microsoft.com/office/drawing/2014/main" id="{B36FB22F-B48D-4026-ACED-353E065A65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177800</xdr:colOff>
      <xdr:row>0</xdr:row>
      <xdr:rowOff>190500</xdr:rowOff>
    </xdr:from>
    <xdr:to>
      <xdr:col>0</xdr:col>
      <xdr:colOff>1816100</xdr:colOff>
      <xdr:row>0</xdr:row>
      <xdr:rowOff>476250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6D07AE0-5DF5-534A-9E4B-0933B5536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7800" y="190500"/>
          <a:ext cx="16383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37403-7AD4-0741-A230-1F50AD90717A}">
  <dimension ref="A1:B6"/>
  <sheetViews>
    <sheetView showGridLines="0" zoomScaleNormal="80" zoomScaleSheetLayoutView="100" workbookViewId="0">
      <selection activeCell="K27" sqref="K27"/>
    </sheetView>
  </sheetViews>
  <sheetFormatPr baseColWidth="10" defaultColWidth="8.83203125" defaultRowHeight="15" x14ac:dyDescent="0.2"/>
  <cols>
    <col min="1" max="1" width="27.1640625" style="3" customWidth="1"/>
    <col min="2" max="2" width="115.5" style="3" customWidth="1"/>
    <col min="3" max="3" width="11.5" customWidth="1"/>
  </cols>
  <sheetData>
    <row r="1" spans="1:2" ht="51.5" customHeight="1" x14ac:dyDescent="0.2">
      <c r="A1" s="15"/>
      <c r="B1" s="21" t="s">
        <v>0</v>
      </c>
    </row>
    <row r="2" spans="1:2" ht="16" x14ac:dyDescent="0.2">
      <c r="A2" s="28" t="s">
        <v>1</v>
      </c>
      <c r="B2" s="33" t="s">
        <v>207</v>
      </c>
    </row>
    <row r="3" spans="1:2" ht="16" x14ac:dyDescent="0.2">
      <c r="A3" s="28" t="s">
        <v>2</v>
      </c>
      <c r="B3" s="33" t="s">
        <v>126</v>
      </c>
    </row>
    <row r="4" spans="1:2" ht="17" x14ac:dyDescent="0.25">
      <c r="A4" s="28" t="s">
        <v>3</v>
      </c>
      <c r="B4" s="34" t="s">
        <v>53</v>
      </c>
    </row>
    <row r="5" spans="1:2" ht="16" x14ac:dyDescent="0.2">
      <c r="A5" s="28" t="s">
        <v>20</v>
      </c>
      <c r="B5" s="35" t="s">
        <v>114</v>
      </c>
    </row>
    <row r="6" spans="1:2" x14ac:dyDescent="0.2">
      <c r="B6" s="3" t="s">
        <v>96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AC24-231E-8B4E-9B8D-A0CED00B26DD}">
  <dimension ref="A1:M18"/>
  <sheetViews>
    <sheetView topLeftCell="C1" zoomScale="115" zoomScaleNormal="115" zoomScaleSheetLayoutView="100" workbookViewId="0">
      <selection activeCell="M2" sqref="M2"/>
    </sheetView>
  </sheetViews>
  <sheetFormatPr baseColWidth="10" defaultColWidth="9.1640625" defaultRowHeight="15" x14ac:dyDescent="0.2"/>
  <cols>
    <col min="1" max="1" width="9.1640625" style="1"/>
    <col min="2" max="2" width="44.83203125" style="9" customWidth="1"/>
    <col min="3" max="3" width="74.33203125" style="42" customWidth="1"/>
    <col min="4" max="4" width="11.83203125" style="43" customWidth="1"/>
    <col min="5" max="5" width="13.5" style="43" customWidth="1"/>
    <col min="6" max="6" width="13.1640625" style="43" customWidth="1"/>
    <col min="7" max="7" width="13.5" style="43" customWidth="1"/>
    <col min="8" max="8" width="14.5" style="31" customWidth="1"/>
    <col min="9" max="9" width="12.5" style="32" customWidth="1"/>
    <col min="10" max="11" width="17.5" style="32" customWidth="1"/>
    <col min="12" max="12" width="16.6640625" style="31" customWidth="1"/>
    <col min="13" max="13" width="13.5" style="32" customWidth="1"/>
    <col min="14" max="16384" width="9.1640625" style="1"/>
  </cols>
  <sheetData>
    <row r="1" spans="1:13" s="45" customFormat="1" ht="28.5" customHeight="1" x14ac:dyDescent="0.2">
      <c r="A1" s="30" t="s">
        <v>16</v>
      </c>
      <c r="B1" s="44" t="s">
        <v>4</v>
      </c>
      <c r="C1" s="36" t="s">
        <v>70</v>
      </c>
      <c r="D1" s="37" t="s">
        <v>5</v>
      </c>
      <c r="E1" s="37" t="s">
        <v>6</v>
      </c>
      <c r="F1" s="37" t="s">
        <v>7</v>
      </c>
      <c r="G1" s="37" t="s">
        <v>8</v>
      </c>
      <c r="H1" s="29" t="s">
        <v>9</v>
      </c>
      <c r="I1" s="30" t="s">
        <v>10</v>
      </c>
      <c r="J1" s="30" t="s">
        <v>11</v>
      </c>
      <c r="K1" s="30" t="s">
        <v>41</v>
      </c>
      <c r="L1" s="29" t="s">
        <v>23</v>
      </c>
      <c r="M1" s="30" t="s">
        <v>191</v>
      </c>
    </row>
    <row r="2" spans="1:13" s="18" customFormat="1" ht="28.75" customHeight="1" x14ac:dyDescent="0.2">
      <c r="A2" s="18" t="s">
        <v>12</v>
      </c>
      <c r="B2" s="19" t="s">
        <v>54</v>
      </c>
      <c r="C2" s="38" t="s">
        <v>71</v>
      </c>
      <c r="D2" s="39">
        <f>SUMIF('Sprint Planner'!A:A,'Project Estimates'!A2,'Sprint Planner'!E:E)</f>
        <v>4</v>
      </c>
      <c r="E2" s="39">
        <v>3</v>
      </c>
      <c r="F2" s="39">
        <v>4</v>
      </c>
      <c r="G2" s="39">
        <v>5</v>
      </c>
      <c r="H2" s="31">
        <f>(E2+(F2*4)+G2)/6</f>
        <v>4</v>
      </c>
      <c r="I2" s="32">
        <f>H2*8</f>
        <v>32</v>
      </c>
      <c r="J2" s="32">
        <f>SUMIFS('Sprint Planner'!E:E,'Sprint Planner'!A:A,'Project Estimates'!A2,'Sprint Planner'!H:H,"COMPLETED")</f>
        <v>2</v>
      </c>
      <c r="K2" s="32">
        <f>L2*8*J2*Helpers!$C$2</f>
        <v>480</v>
      </c>
      <c r="L2" s="31">
        <f>H2/D2</f>
        <v>1</v>
      </c>
      <c r="M2" s="32">
        <f>IF(SUMIF('Sprint Planner'!A:A, 'Project Estimates'!A2,'Sprint Planner'!G:G)&gt;0, SUMIF('Sprint Planner'!A:A, 'Project Estimates'!A2,'Sprint Planner'!G:G)*8*Helpers!C2,"")</f>
        <v>480</v>
      </c>
    </row>
    <row r="3" spans="1:13" s="20" customFormat="1" ht="36" customHeight="1" x14ac:dyDescent="0.2">
      <c r="A3" s="20" t="s">
        <v>13</v>
      </c>
      <c r="B3" s="19" t="s">
        <v>55</v>
      </c>
      <c r="C3" s="40" t="s">
        <v>72</v>
      </c>
      <c r="D3" s="39">
        <f>SUMIF('Sprint Planner'!A:A,'Project Estimates'!A3,'Sprint Planner'!E:E)</f>
        <v>2</v>
      </c>
      <c r="E3" s="39">
        <v>2</v>
      </c>
      <c r="F3" s="41">
        <v>3</v>
      </c>
      <c r="G3" s="39">
        <v>5</v>
      </c>
      <c r="H3" s="31">
        <f t="shared" ref="H3:H6" si="0">(E3+(F3*4)+G3)/6</f>
        <v>3.1666666666666665</v>
      </c>
      <c r="I3" s="32">
        <f t="shared" ref="I3:I6" si="1">H3*8</f>
        <v>25.333333333333332</v>
      </c>
      <c r="J3" s="32">
        <f>SUMIFS('Sprint Planner'!E:E,'Sprint Planner'!A:A,'Project Estimates'!A3,'Sprint Planner'!H:H,"COMPLETED")</f>
        <v>0</v>
      </c>
      <c r="K3" s="32">
        <f>L3*8*J3*Helpers!$C$2</f>
        <v>0</v>
      </c>
      <c r="L3" s="31">
        <f t="shared" ref="L3:L17" si="2">H3/D3</f>
        <v>1.5833333333333333</v>
      </c>
      <c r="M3" s="32" t="str">
        <f>IF(SUMIF('Sprint Planner'!A:A, 'Project Estimates'!A3,'Sprint Planner'!G:G)&gt;0, SUMIF('Sprint Planner'!A:A, 'Project Estimates'!A3,'Sprint Planner'!G:G)*8*Helpers!C3,"")</f>
        <v/>
      </c>
    </row>
    <row r="4" spans="1:13" s="20" customFormat="1" ht="28.75" customHeight="1" x14ac:dyDescent="0.2">
      <c r="A4" s="18" t="s">
        <v>14</v>
      </c>
      <c r="B4" s="19" t="s">
        <v>56</v>
      </c>
      <c r="C4" s="40" t="s">
        <v>73</v>
      </c>
      <c r="D4" s="39">
        <f>SUMIF('Sprint Planner'!A:A,'Project Estimates'!A4,'Sprint Planner'!E:E)</f>
        <v>4</v>
      </c>
      <c r="E4" s="41">
        <v>5</v>
      </c>
      <c r="F4" s="41">
        <v>7</v>
      </c>
      <c r="G4" s="41">
        <v>10</v>
      </c>
      <c r="H4" s="31">
        <f>(E4+(F4*4)+G4)/6</f>
        <v>7.166666666666667</v>
      </c>
      <c r="I4" s="32">
        <f t="shared" si="1"/>
        <v>57.333333333333336</v>
      </c>
      <c r="J4" s="32">
        <f>SUMIFS('Sprint Planner'!E:E,'Sprint Planner'!A:A,'Project Estimates'!A4,'Sprint Planner'!H:H,"COMPLETED")</f>
        <v>0</v>
      </c>
      <c r="K4" s="32">
        <f>L4*8*J4*Helpers!$C$2</f>
        <v>0</v>
      </c>
      <c r="L4" s="31">
        <f t="shared" si="2"/>
        <v>1.7916666666666667</v>
      </c>
      <c r="M4" s="32" t="str">
        <f>IF(SUMIF('Sprint Planner'!A:A, 'Project Estimates'!A4,'Sprint Planner'!G:G)&gt;0, SUMIF('Sprint Planner'!A:A, 'Project Estimates'!A4,'Sprint Planner'!G:G)*8*Helpers!C4,"")</f>
        <v/>
      </c>
    </row>
    <row r="5" spans="1:13" s="20" customFormat="1" ht="28.75" customHeight="1" x14ac:dyDescent="0.2">
      <c r="A5" s="18" t="s">
        <v>15</v>
      </c>
      <c r="B5" s="19" t="s">
        <v>57</v>
      </c>
      <c r="C5" s="40" t="s">
        <v>74</v>
      </c>
      <c r="D5" s="39">
        <f>SUMIF('Sprint Planner'!A:A,'Project Estimates'!A5,'Sprint Planner'!E:E)</f>
        <v>3</v>
      </c>
      <c r="E5" s="41">
        <v>1</v>
      </c>
      <c r="F5" s="41">
        <v>2</v>
      </c>
      <c r="G5" s="41">
        <v>3</v>
      </c>
      <c r="H5" s="31">
        <f t="shared" si="0"/>
        <v>2</v>
      </c>
      <c r="I5" s="32">
        <f t="shared" si="1"/>
        <v>16</v>
      </c>
      <c r="J5" s="32">
        <f>SUMIFS('Sprint Planner'!E:E,'Sprint Planner'!A:A,'Project Estimates'!A5,'Sprint Planner'!H:H,"COMPLETED")</f>
        <v>0</v>
      </c>
      <c r="K5" s="32">
        <f>L5*8*J5*Helpers!$C$2</f>
        <v>0</v>
      </c>
      <c r="L5" s="31">
        <f t="shared" si="2"/>
        <v>0.66666666666666663</v>
      </c>
      <c r="M5" s="32" t="str">
        <f>IF(SUMIF('Sprint Planner'!A:A, 'Project Estimates'!A5,'Sprint Planner'!G:G)&gt;0, SUMIF('Sprint Planner'!A:A, 'Project Estimates'!A5,'Sprint Planner'!G:G)*8*Helpers!C5,"")</f>
        <v/>
      </c>
    </row>
    <row r="6" spans="1:13" s="20" customFormat="1" ht="28.75" customHeight="1" x14ac:dyDescent="0.2">
      <c r="A6" s="20" t="s">
        <v>43</v>
      </c>
      <c r="B6" s="19" t="s">
        <v>58</v>
      </c>
      <c r="C6" s="40" t="s">
        <v>75</v>
      </c>
      <c r="D6" s="39">
        <f>SUMIF('Sprint Planner'!A:A,'Project Estimates'!A6,'Sprint Planner'!E:E)</f>
        <v>1</v>
      </c>
      <c r="E6" s="41">
        <v>1</v>
      </c>
      <c r="F6" s="41">
        <v>2</v>
      </c>
      <c r="G6" s="41">
        <v>3</v>
      </c>
      <c r="H6" s="31">
        <f t="shared" si="0"/>
        <v>2</v>
      </c>
      <c r="I6" s="32">
        <f t="shared" si="1"/>
        <v>16</v>
      </c>
      <c r="J6" s="32">
        <f>SUMIFS('Sprint Planner'!E:E,'Sprint Planner'!A:A,'Project Estimates'!A6,'Sprint Planner'!H:H,"COMPLETED")</f>
        <v>0</v>
      </c>
      <c r="K6" s="32">
        <f>L6*8*J6*Helpers!$C$2</f>
        <v>0</v>
      </c>
      <c r="L6" s="31">
        <f t="shared" si="2"/>
        <v>2</v>
      </c>
      <c r="M6" s="32" t="str">
        <f>IF(SUMIF('Sprint Planner'!A:A, 'Project Estimates'!A6,'Sprint Planner'!G:G)&gt;0, SUMIF('Sprint Planner'!A:A, 'Project Estimates'!A6,'Sprint Planner'!G:G)*8*Helpers!C6,"")</f>
        <v/>
      </c>
    </row>
    <row r="7" spans="1:13" s="20" customFormat="1" ht="28.75" customHeight="1" x14ac:dyDescent="0.2">
      <c r="A7" s="18" t="s">
        <v>44</v>
      </c>
      <c r="B7" s="19" t="s">
        <v>59</v>
      </c>
      <c r="C7" s="40" t="s">
        <v>149</v>
      </c>
      <c r="D7" s="39">
        <v>2</v>
      </c>
      <c r="E7" s="41">
        <v>3</v>
      </c>
      <c r="F7" s="41">
        <v>5</v>
      </c>
      <c r="G7" s="41">
        <v>7</v>
      </c>
      <c r="H7" s="31">
        <f t="shared" ref="H7:H17" si="3">(E7+(F7*4)+G7)/6</f>
        <v>5</v>
      </c>
      <c r="I7" s="32">
        <f t="shared" ref="I7:I17" si="4">H7*8</f>
        <v>40</v>
      </c>
      <c r="J7" s="32">
        <f>SUMIFS('Sprint Planner'!E:E,'Sprint Planner'!A:A,'Project Estimates'!A7,'Sprint Planner'!H:H,"COMPLETED")</f>
        <v>0</v>
      </c>
      <c r="K7" s="32">
        <f>L7*8*J7*Helpers!$C$2</f>
        <v>0</v>
      </c>
      <c r="L7" s="31">
        <f t="shared" si="2"/>
        <v>2.5</v>
      </c>
      <c r="M7" s="32" t="str">
        <f>IF(SUMIF('Sprint Planner'!A:A, 'Project Estimates'!A7,'Sprint Planner'!G:G)&gt;0, SUMIF('Sprint Planner'!A:A, 'Project Estimates'!A7,'Sprint Planner'!G:G)*8*Helpers!C7,"")</f>
        <v/>
      </c>
    </row>
    <row r="8" spans="1:13" s="20" customFormat="1" ht="34.25" customHeight="1" x14ac:dyDescent="0.2">
      <c r="A8" s="18" t="s">
        <v>45</v>
      </c>
      <c r="B8" s="19" t="s">
        <v>60</v>
      </c>
      <c r="C8" s="40" t="s">
        <v>152</v>
      </c>
      <c r="D8" s="39">
        <f>SUMIF('Sprint Planner'!A:A,'Project Estimates'!A8,'Sprint Planner'!E:E)</f>
        <v>2</v>
      </c>
      <c r="E8" s="41">
        <v>2</v>
      </c>
      <c r="F8" s="41">
        <v>3</v>
      </c>
      <c r="G8" s="41">
        <v>5</v>
      </c>
      <c r="H8" s="31">
        <f t="shared" si="3"/>
        <v>3.1666666666666665</v>
      </c>
      <c r="I8" s="32">
        <f t="shared" si="4"/>
        <v>25.333333333333332</v>
      </c>
      <c r="J8" s="32">
        <f>SUMIFS('Sprint Planner'!E:E,'Sprint Planner'!A:A,'Project Estimates'!A8,'Sprint Planner'!H:H,"COMPLETED")</f>
        <v>0</v>
      </c>
      <c r="K8" s="32">
        <f>L8*8*J8*Helpers!$C$2</f>
        <v>0</v>
      </c>
      <c r="L8" s="31">
        <f t="shared" si="2"/>
        <v>1.5833333333333333</v>
      </c>
      <c r="M8" s="32" t="str">
        <f>IF(SUMIF('Sprint Planner'!A:A, 'Project Estimates'!A8,'Sprint Planner'!G:G)&gt;0, SUMIF('Sprint Planner'!A:A, 'Project Estimates'!A8,'Sprint Planner'!G:G)*8*Helpers!C8,"")</f>
        <v/>
      </c>
    </row>
    <row r="9" spans="1:13" s="20" customFormat="1" ht="48" x14ac:dyDescent="0.2">
      <c r="A9" s="18" t="s">
        <v>76</v>
      </c>
      <c r="B9" s="19" t="s">
        <v>61</v>
      </c>
      <c r="C9" s="40" t="s">
        <v>159</v>
      </c>
      <c r="D9" s="39">
        <v>2</v>
      </c>
      <c r="E9" s="41">
        <v>2</v>
      </c>
      <c r="F9" s="41">
        <v>3</v>
      </c>
      <c r="G9" s="41">
        <v>5</v>
      </c>
      <c r="H9" s="31">
        <f t="shared" si="3"/>
        <v>3.1666666666666665</v>
      </c>
      <c r="I9" s="32">
        <f t="shared" si="4"/>
        <v>25.333333333333332</v>
      </c>
      <c r="J9" s="32">
        <f>SUMIFS('Sprint Planner'!E:E,'Sprint Planner'!A:A,'Project Estimates'!A9,'Sprint Planner'!H:H,"COMPLETED")</f>
        <v>0</v>
      </c>
      <c r="K9" s="32">
        <f>L9*8*J9*Helpers!$C$2</f>
        <v>0</v>
      </c>
      <c r="L9" s="31">
        <f t="shared" si="2"/>
        <v>1.5833333333333333</v>
      </c>
      <c r="M9" s="32" t="str">
        <f>IF(SUMIF('Sprint Planner'!A:A, 'Project Estimates'!A9,'Sprint Planner'!G:G)&gt;0, SUMIF('Sprint Planner'!A:A, 'Project Estimates'!A9,'Sprint Planner'!G:G)*8*Helpers!C9,"")</f>
        <v/>
      </c>
    </row>
    <row r="10" spans="1:13" s="20" customFormat="1" ht="62.5" customHeight="1" x14ac:dyDescent="0.2">
      <c r="A10" s="18" t="s">
        <v>77</v>
      </c>
      <c r="B10" s="19" t="s">
        <v>62</v>
      </c>
      <c r="C10" s="40" t="s">
        <v>164</v>
      </c>
      <c r="D10" s="39">
        <v>2</v>
      </c>
      <c r="E10" s="41">
        <v>5</v>
      </c>
      <c r="F10" s="41">
        <v>10</v>
      </c>
      <c r="G10" s="41">
        <v>15</v>
      </c>
      <c r="H10" s="31">
        <f t="shared" si="3"/>
        <v>10</v>
      </c>
      <c r="I10" s="32">
        <f t="shared" si="4"/>
        <v>80</v>
      </c>
      <c r="J10" s="32">
        <f>SUMIFS('Sprint Planner'!E:E,'Sprint Planner'!A:A,'Project Estimates'!A10,'Sprint Planner'!H:H,"COMPLETED")</f>
        <v>0</v>
      </c>
      <c r="K10" s="32">
        <f>L10*8*J10*Helpers!$C$2</f>
        <v>0</v>
      </c>
      <c r="L10" s="31">
        <f t="shared" si="2"/>
        <v>5</v>
      </c>
      <c r="M10" s="32" t="str">
        <f>IF(SUMIF('Sprint Planner'!A:A, 'Project Estimates'!A10,'Sprint Planner'!G:G)&gt;0, SUMIF('Sprint Planner'!A:A, 'Project Estimates'!A10,'Sprint Planner'!G:G)*8*Helpers!C10,"")</f>
        <v/>
      </c>
    </row>
    <row r="11" spans="1:13" s="20" customFormat="1" ht="28.75" customHeight="1" x14ac:dyDescent="0.2">
      <c r="A11" s="18" t="s">
        <v>78</v>
      </c>
      <c r="B11" s="19" t="s">
        <v>63</v>
      </c>
      <c r="C11" s="40" t="s">
        <v>85</v>
      </c>
      <c r="D11" s="39">
        <v>6</v>
      </c>
      <c r="E11" s="41">
        <v>4</v>
      </c>
      <c r="F11" s="41">
        <v>7</v>
      </c>
      <c r="G11" s="41">
        <v>10</v>
      </c>
      <c r="H11" s="31">
        <f t="shared" si="3"/>
        <v>7</v>
      </c>
      <c r="I11" s="32">
        <f t="shared" si="4"/>
        <v>56</v>
      </c>
      <c r="J11" s="32">
        <f>SUMIFS('Sprint Planner'!E:E,'Sprint Planner'!A:A,'Project Estimates'!A11,'Sprint Planner'!H:H,"COMPLETED")</f>
        <v>0</v>
      </c>
      <c r="K11" s="32">
        <f>L11*8*J11*Helpers!$C$2</f>
        <v>0</v>
      </c>
      <c r="L11" s="31">
        <f t="shared" si="2"/>
        <v>1.1666666666666667</v>
      </c>
      <c r="M11" s="32" t="str">
        <f>IF(SUMIF('Sprint Planner'!A:A, 'Project Estimates'!A11,'Sprint Planner'!G:G)&gt;0, SUMIF('Sprint Planner'!A:A, 'Project Estimates'!A11,'Sprint Planner'!G:G)*8*Helpers!C11,"")</f>
        <v/>
      </c>
    </row>
    <row r="12" spans="1:13" s="20" customFormat="1" ht="28.75" customHeight="1" x14ac:dyDescent="0.2">
      <c r="A12" s="18" t="s">
        <v>79</v>
      </c>
      <c r="B12" s="19" t="s">
        <v>64</v>
      </c>
      <c r="C12" s="40" t="s">
        <v>86</v>
      </c>
      <c r="D12" s="39">
        <v>8</v>
      </c>
      <c r="E12" s="41">
        <v>6</v>
      </c>
      <c r="F12" s="41">
        <v>12</v>
      </c>
      <c r="G12" s="41">
        <v>18</v>
      </c>
      <c r="H12" s="31">
        <f t="shared" si="3"/>
        <v>12</v>
      </c>
      <c r="I12" s="32">
        <f t="shared" si="4"/>
        <v>96</v>
      </c>
      <c r="J12" s="32">
        <f>SUMIFS('Sprint Planner'!E:E,'Sprint Planner'!A:A,'Project Estimates'!A12,'Sprint Planner'!H:H,"COMPLETED")</f>
        <v>0</v>
      </c>
      <c r="K12" s="32">
        <f>L12*8*J12*Helpers!$C$2</f>
        <v>0</v>
      </c>
      <c r="L12" s="31">
        <f t="shared" si="2"/>
        <v>1.5</v>
      </c>
      <c r="M12" s="32" t="str">
        <f>IF(SUMIF('Sprint Planner'!A:A, 'Project Estimates'!A12,'Sprint Planner'!G:G)&gt;0, SUMIF('Sprint Planner'!A:A, 'Project Estimates'!A12,'Sprint Planner'!G:G)*8*Helpers!C12,"")</f>
        <v/>
      </c>
    </row>
    <row r="13" spans="1:13" ht="28.75" customHeight="1" x14ac:dyDescent="0.2">
      <c r="A13" s="18" t="s">
        <v>80</v>
      </c>
      <c r="B13" s="19" t="s">
        <v>65</v>
      </c>
      <c r="C13" s="42" t="s">
        <v>88</v>
      </c>
      <c r="D13" s="39">
        <v>1</v>
      </c>
      <c r="E13" s="43">
        <v>0.5</v>
      </c>
      <c r="F13" s="43">
        <v>1</v>
      </c>
      <c r="G13" s="43">
        <v>1.5</v>
      </c>
      <c r="H13" s="31">
        <f t="shared" si="3"/>
        <v>1</v>
      </c>
      <c r="I13" s="32">
        <f t="shared" si="4"/>
        <v>8</v>
      </c>
      <c r="J13" s="32">
        <f>SUMIFS('Sprint Planner'!E:E,'Sprint Planner'!A:A,'Project Estimates'!A13,'Sprint Planner'!H:H,"COMPLETED")</f>
        <v>0</v>
      </c>
      <c r="K13" s="32">
        <f>L13*8*J13*Helpers!$C$2</f>
        <v>0</v>
      </c>
      <c r="L13" s="31">
        <f t="shared" si="2"/>
        <v>1</v>
      </c>
      <c r="M13" s="32" t="str">
        <f>IF(SUMIF('Sprint Planner'!A:A, 'Project Estimates'!A13,'Sprint Planner'!G:G)&gt;0, SUMIF('Sprint Planner'!A:A, 'Project Estimates'!A13,'Sprint Planner'!G:G)*8*Helpers!C13,"")</f>
        <v/>
      </c>
    </row>
    <row r="14" spans="1:13" ht="28.75" customHeight="1" x14ac:dyDescent="0.2">
      <c r="A14" s="18" t="s">
        <v>81</v>
      </c>
      <c r="B14" s="19" t="s">
        <v>66</v>
      </c>
      <c r="C14" s="42" t="s">
        <v>87</v>
      </c>
      <c r="D14" s="39">
        <f>SUMIF('Sprint Planner'!A:A,'Project Estimates'!A14,'Sprint Planner'!E:E)</f>
        <v>1</v>
      </c>
      <c r="E14" s="43">
        <v>0.5</v>
      </c>
      <c r="F14" s="43">
        <v>1</v>
      </c>
      <c r="G14" s="43">
        <v>1.5</v>
      </c>
      <c r="H14" s="31">
        <f t="shared" si="3"/>
        <v>1</v>
      </c>
      <c r="I14" s="32">
        <f t="shared" si="4"/>
        <v>8</v>
      </c>
      <c r="J14" s="32">
        <f>SUMIFS('Sprint Planner'!E:E,'Sprint Planner'!A:A,'Project Estimates'!A14,'Sprint Planner'!H:H,"COMPLETED")</f>
        <v>0</v>
      </c>
      <c r="K14" s="32">
        <f>L14*8*J14*Helpers!$C$2</f>
        <v>0</v>
      </c>
      <c r="L14" s="31">
        <f t="shared" si="2"/>
        <v>1</v>
      </c>
      <c r="M14" s="32" t="str">
        <f>IF(SUMIF('Sprint Planner'!A:A, 'Project Estimates'!A14,'Sprint Planner'!G:G)&gt;0, SUMIF('Sprint Planner'!A:A, 'Project Estimates'!A14,'Sprint Planner'!G:G)*8*Helpers!C14,"")</f>
        <v/>
      </c>
    </row>
    <row r="15" spans="1:13" ht="28.75" customHeight="1" x14ac:dyDescent="0.2">
      <c r="A15" s="18" t="s">
        <v>82</v>
      </c>
      <c r="B15" s="19" t="s">
        <v>67</v>
      </c>
      <c r="C15" s="42" t="s">
        <v>89</v>
      </c>
      <c r="D15" s="39">
        <v>2</v>
      </c>
      <c r="E15" s="43">
        <v>2</v>
      </c>
      <c r="F15" s="43">
        <v>3</v>
      </c>
      <c r="G15" s="43">
        <v>5</v>
      </c>
      <c r="H15" s="31">
        <f t="shared" si="3"/>
        <v>3.1666666666666665</v>
      </c>
      <c r="I15" s="32">
        <f t="shared" si="4"/>
        <v>25.333333333333332</v>
      </c>
      <c r="J15" s="32">
        <f>SUMIFS('Sprint Planner'!E:E,'Sprint Planner'!A:A,'Project Estimates'!A15,'Sprint Planner'!H:H,"COMPLETED")</f>
        <v>0</v>
      </c>
      <c r="K15" s="32">
        <f>L15*8*J15*Helpers!$C$2</f>
        <v>0</v>
      </c>
      <c r="L15" s="31">
        <f t="shared" si="2"/>
        <v>1.5833333333333333</v>
      </c>
      <c r="M15" s="32" t="str">
        <f>IF(SUMIF('Sprint Planner'!A:A, 'Project Estimates'!A15,'Sprint Planner'!G:G)&gt;0, SUMIF('Sprint Planner'!A:A, 'Project Estimates'!A15,'Sprint Planner'!G:G)*8*Helpers!C15,"")</f>
        <v/>
      </c>
    </row>
    <row r="16" spans="1:13" ht="28.75" customHeight="1" x14ac:dyDescent="0.2">
      <c r="A16" s="18" t="s">
        <v>83</v>
      </c>
      <c r="B16" s="19" t="s">
        <v>68</v>
      </c>
      <c r="C16" s="42" t="s">
        <v>90</v>
      </c>
      <c r="D16" s="39">
        <f>SUMIF('Sprint Planner'!A:A,'Project Estimates'!A16,'Sprint Planner'!E:E)</f>
        <v>2</v>
      </c>
      <c r="E16" s="43">
        <v>3</v>
      </c>
      <c r="F16" s="43">
        <v>5</v>
      </c>
      <c r="G16" s="43">
        <v>7</v>
      </c>
      <c r="H16" s="31">
        <f t="shared" si="3"/>
        <v>5</v>
      </c>
      <c r="I16" s="32">
        <f t="shared" si="4"/>
        <v>40</v>
      </c>
      <c r="J16" s="32">
        <f>SUMIFS('Sprint Planner'!E:E,'Sprint Planner'!A:A,'Project Estimates'!A16,'Sprint Planner'!H:H,"COMPLETED")</f>
        <v>0</v>
      </c>
      <c r="K16" s="32">
        <f>L16*8*J16*Helpers!$C$2</f>
        <v>0</v>
      </c>
      <c r="L16" s="31">
        <f t="shared" si="2"/>
        <v>2.5</v>
      </c>
      <c r="M16" s="32" t="str">
        <f>IF(SUMIF('Sprint Planner'!A:A, 'Project Estimates'!A16,'Sprint Planner'!G:G)&gt;0, SUMIF('Sprint Planner'!A:A, 'Project Estimates'!A16,'Sprint Planner'!G:G)*8*Helpers!C16,"")</f>
        <v/>
      </c>
    </row>
    <row r="17" spans="1:13" ht="28.75" customHeight="1" x14ac:dyDescent="0.2">
      <c r="A17" s="18" t="s">
        <v>84</v>
      </c>
      <c r="B17" s="19" t="s">
        <v>69</v>
      </c>
      <c r="C17" s="42" t="s">
        <v>91</v>
      </c>
      <c r="D17" s="39">
        <v>2</v>
      </c>
      <c r="E17" s="43">
        <v>3</v>
      </c>
      <c r="F17" s="43">
        <v>5</v>
      </c>
      <c r="G17" s="43">
        <v>7</v>
      </c>
      <c r="H17" s="31">
        <f t="shared" si="3"/>
        <v>5</v>
      </c>
      <c r="I17" s="32">
        <f t="shared" si="4"/>
        <v>40</v>
      </c>
      <c r="J17" s="32">
        <f>SUMIFS('Sprint Planner'!E:E,'Sprint Planner'!A:A,'Project Estimates'!A17,'Sprint Planner'!H:H,"COMPLETED")</f>
        <v>0</v>
      </c>
      <c r="K17" s="32">
        <f>L17*8*J17*Helpers!$C$2</f>
        <v>0</v>
      </c>
      <c r="L17" s="31">
        <f t="shared" si="2"/>
        <v>2.5</v>
      </c>
      <c r="M17" s="32" t="str">
        <f>IF(SUMIF('Sprint Planner'!A:A, 'Project Estimates'!A17,'Sprint Planner'!G:G)&gt;0, SUMIF('Sprint Planner'!A:A, 'Project Estimates'!A17,'Sprint Planner'!G:G)*8*Helpers!C17,"")</f>
        <v/>
      </c>
    </row>
    <row r="18" spans="1:13" x14ac:dyDescent="0.2">
      <c r="B18" s="19"/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23E7F-80C5-8443-AA51-83A77BD95B4A}">
  <dimension ref="A1:J202"/>
  <sheetViews>
    <sheetView zoomScaleNormal="100" zoomScaleSheetLayoutView="100" workbookViewId="0">
      <selection activeCell="G4" sqref="G4"/>
    </sheetView>
  </sheetViews>
  <sheetFormatPr baseColWidth="10" defaultColWidth="8.83203125" defaultRowHeight="15" x14ac:dyDescent="0.2"/>
  <cols>
    <col min="1" max="1" width="11" style="5" customWidth="1"/>
    <col min="4" max="4" width="79.83203125" style="10" customWidth="1"/>
    <col min="5" max="5" width="10" style="26" customWidth="1"/>
    <col min="6" max="6" width="13.1640625" style="6" customWidth="1"/>
    <col min="7" max="7" width="13.5" style="7" customWidth="1"/>
    <col min="8" max="8" width="14.83203125" style="1" customWidth="1"/>
    <col min="9" max="9" width="14.83203125" style="6" customWidth="1"/>
    <col min="10" max="10" width="19.5" style="1" customWidth="1"/>
    <col min="11" max="11" width="16.1640625" customWidth="1"/>
    <col min="12" max="12" width="14.33203125" customWidth="1"/>
  </cols>
  <sheetData>
    <row r="1" spans="1:10" s="2" customFormat="1" ht="29.25" customHeight="1" x14ac:dyDescent="0.2">
      <c r="A1" s="13" t="s">
        <v>16</v>
      </c>
      <c r="B1" s="13" t="s">
        <v>30</v>
      </c>
      <c r="C1" s="13" t="s">
        <v>17</v>
      </c>
      <c r="D1" s="13" t="s">
        <v>18</v>
      </c>
      <c r="E1" s="13" t="s">
        <v>19</v>
      </c>
      <c r="F1" s="14" t="s">
        <v>20</v>
      </c>
      <c r="G1" s="14" t="s">
        <v>40</v>
      </c>
      <c r="H1" s="13" t="s">
        <v>21</v>
      </c>
      <c r="I1" s="14" t="s">
        <v>22</v>
      </c>
      <c r="J1" s="13" t="s">
        <v>42</v>
      </c>
    </row>
    <row r="2" spans="1:10" s="27" customFormat="1" ht="18" customHeight="1" x14ac:dyDescent="0.2">
      <c r="A2" s="27" t="s">
        <v>49</v>
      </c>
    </row>
    <row r="3" spans="1:10" ht="16" x14ac:dyDescent="0.2">
      <c r="A3" s="1" t="s">
        <v>12</v>
      </c>
      <c r="B3" s="1"/>
      <c r="C3" s="1" t="s">
        <v>50</v>
      </c>
      <c r="D3" s="10" t="s">
        <v>92</v>
      </c>
      <c r="E3" s="1">
        <v>1</v>
      </c>
      <c r="F3" s="6">
        <v>44594</v>
      </c>
      <c r="G3" s="16">
        <f t="shared" ref="G3:G4" si="0">IF(I3-F3&gt;0, I3-F3, "")</f>
        <v>1</v>
      </c>
      <c r="H3" s="20" t="s">
        <v>29</v>
      </c>
      <c r="I3" s="6">
        <v>44595</v>
      </c>
      <c r="J3" s="1" t="s">
        <v>116</v>
      </c>
    </row>
    <row r="4" spans="1:10" ht="32" x14ac:dyDescent="0.2">
      <c r="A4" s="1" t="s">
        <v>12</v>
      </c>
      <c r="B4" s="1"/>
      <c r="C4" s="1" t="s">
        <v>51</v>
      </c>
      <c r="D4" s="10" t="s">
        <v>98</v>
      </c>
      <c r="E4" s="1">
        <v>1</v>
      </c>
      <c r="F4" s="6">
        <v>44594</v>
      </c>
      <c r="G4" s="16">
        <f t="shared" si="0"/>
        <v>1</v>
      </c>
      <c r="H4" s="20" t="s">
        <v>29</v>
      </c>
      <c r="I4" s="6">
        <v>44595</v>
      </c>
      <c r="J4" s="1" t="s">
        <v>116</v>
      </c>
    </row>
    <row r="5" spans="1:10" ht="32" x14ac:dyDescent="0.2">
      <c r="A5" s="1" t="s">
        <v>12</v>
      </c>
      <c r="B5" s="1"/>
      <c r="C5" s="1" t="s">
        <v>52</v>
      </c>
      <c r="D5" s="10" t="s">
        <v>97</v>
      </c>
      <c r="E5" s="1">
        <v>1</v>
      </c>
      <c r="F5" s="6">
        <v>44596</v>
      </c>
      <c r="G5" s="16" t="str">
        <f>IF(I5-F5&gt;0, I5-F5, "")</f>
        <v/>
      </c>
      <c r="H5" s="20"/>
      <c r="J5" s="1" t="s">
        <v>47</v>
      </c>
    </row>
    <row r="6" spans="1:10" ht="16" x14ac:dyDescent="0.2">
      <c r="A6" s="1" t="s">
        <v>12</v>
      </c>
      <c r="C6" s="1" t="s">
        <v>94</v>
      </c>
      <c r="D6" s="10" t="s">
        <v>93</v>
      </c>
      <c r="E6" s="1">
        <v>1</v>
      </c>
      <c r="G6" s="16" t="str">
        <f t="shared" ref="G6:G61" si="1">IF(I6-F6&gt;0, I6-F6, "")</f>
        <v/>
      </c>
      <c r="H6" s="20"/>
      <c r="J6" s="1" t="s">
        <v>47</v>
      </c>
    </row>
    <row r="7" spans="1:10" s="27" customFormat="1" ht="18" customHeight="1" x14ac:dyDescent="0.2">
      <c r="A7" s="27" t="s">
        <v>192</v>
      </c>
    </row>
    <row r="8" spans="1:10" ht="16" x14ac:dyDescent="0.2">
      <c r="A8" s="1" t="s">
        <v>13</v>
      </c>
      <c r="C8" s="1" t="s">
        <v>95</v>
      </c>
      <c r="D8" s="10" t="s">
        <v>99</v>
      </c>
      <c r="E8" s="1">
        <v>1</v>
      </c>
      <c r="G8" s="16" t="str">
        <f t="shared" si="1"/>
        <v/>
      </c>
      <c r="H8" s="20"/>
    </row>
    <row r="9" spans="1:10" ht="16" x14ac:dyDescent="0.2">
      <c r="A9" s="1" t="s">
        <v>13</v>
      </c>
      <c r="C9" s="1" t="s">
        <v>100</v>
      </c>
      <c r="D9" s="10" t="s">
        <v>101</v>
      </c>
      <c r="E9" s="1">
        <v>1</v>
      </c>
      <c r="G9" s="16" t="str">
        <f t="shared" si="1"/>
        <v/>
      </c>
      <c r="H9" s="20"/>
    </row>
    <row r="10" spans="1:10" s="27" customFormat="1" ht="18" customHeight="1" x14ac:dyDescent="0.2">
      <c r="A10" s="27" t="s">
        <v>193</v>
      </c>
    </row>
    <row r="11" spans="1:10" ht="16" x14ac:dyDescent="0.2">
      <c r="A11" s="1" t="s">
        <v>14</v>
      </c>
      <c r="C11" s="1" t="s">
        <v>102</v>
      </c>
      <c r="D11" s="10" t="s">
        <v>110</v>
      </c>
      <c r="E11" s="1">
        <v>1</v>
      </c>
      <c r="G11" s="16" t="str">
        <f t="shared" si="1"/>
        <v/>
      </c>
      <c r="H11" s="20"/>
    </row>
    <row r="12" spans="1:10" ht="32" x14ac:dyDescent="0.2">
      <c r="A12" s="1" t="s">
        <v>14</v>
      </c>
      <c r="C12" s="1" t="s">
        <v>103</v>
      </c>
      <c r="D12" s="10" t="s">
        <v>111</v>
      </c>
      <c r="E12" s="1">
        <v>1</v>
      </c>
      <c r="G12" s="16" t="str">
        <f t="shared" si="1"/>
        <v/>
      </c>
      <c r="H12" s="20"/>
    </row>
    <row r="13" spans="1:10" ht="16" x14ac:dyDescent="0.2">
      <c r="A13" s="1" t="s">
        <v>14</v>
      </c>
      <c r="C13" s="1" t="s">
        <v>104</v>
      </c>
      <c r="D13" s="10" t="s">
        <v>112</v>
      </c>
      <c r="E13" s="1">
        <v>1</v>
      </c>
      <c r="G13" s="16" t="str">
        <f t="shared" si="1"/>
        <v/>
      </c>
      <c r="H13" s="20"/>
    </row>
    <row r="14" spans="1:10" ht="16" x14ac:dyDescent="0.2">
      <c r="A14" s="1" t="s">
        <v>14</v>
      </c>
      <c r="C14" s="1" t="s">
        <v>105</v>
      </c>
      <c r="D14" s="10" t="s">
        <v>113</v>
      </c>
      <c r="E14" s="1">
        <v>1</v>
      </c>
      <c r="G14" s="16" t="str">
        <f t="shared" si="1"/>
        <v/>
      </c>
      <c r="H14" s="20"/>
    </row>
    <row r="15" spans="1:10" s="27" customFormat="1" ht="18" customHeight="1" x14ac:dyDescent="0.2">
      <c r="A15" s="27" t="s">
        <v>194</v>
      </c>
    </row>
    <row r="16" spans="1:10" ht="16" x14ac:dyDescent="0.2">
      <c r="A16" s="1" t="s">
        <v>15</v>
      </c>
      <c r="C16" s="1" t="s">
        <v>106</v>
      </c>
      <c r="D16" s="10" t="s">
        <v>122</v>
      </c>
      <c r="E16" s="1">
        <v>1</v>
      </c>
      <c r="G16" s="16" t="str">
        <f t="shared" si="1"/>
        <v/>
      </c>
      <c r="H16" s="20"/>
    </row>
    <row r="17" spans="1:8" ht="16" x14ac:dyDescent="0.2">
      <c r="A17" s="1" t="s">
        <v>15</v>
      </c>
      <c r="C17" s="1" t="s">
        <v>107</v>
      </c>
      <c r="D17" s="10" t="s">
        <v>123</v>
      </c>
      <c r="E17" s="1">
        <v>1</v>
      </c>
      <c r="G17" s="16" t="str">
        <f t="shared" si="1"/>
        <v/>
      </c>
      <c r="H17" s="20"/>
    </row>
    <row r="18" spans="1:8" ht="16" x14ac:dyDescent="0.2">
      <c r="A18" s="1" t="s">
        <v>15</v>
      </c>
      <c r="C18" s="1" t="s">
        <v>108</v>
      </c>
      <c r="D18" s="10" t="s">
        <v>124</v>
      </c>
      <c r="E18" s="1">
        <v>1</v>
      </c>
      <c r="G18" s="16" t="str">
        <f t="shared" si="1"/>
        <v/>
      </c>
      <c r="H18" s="20"/>
    </row>
    <row r="19" spans="1:8" s="27" customFormat="1" ht="18" customHeight="1" x14ac:dyDescent="0.2">
      <c r="A19" s="27" t="s">
        <v>195</v>
      </c>
    </row>
    <row r="20" spans="1:8" ht="16" x14ac:dyDescent="0.2">
      <c r="A20" s="1" t="s">
        <v>43</v>
      </c>
      <c r="C20" s="1" t="s">
        <v>109</v>
      </c>
      <c r="D20" s="10" t="s">
        <v>125</v>
      </c>
      <c r="E20" s="1">
        <v>1</v>
      </c>
      <c r="G20" s="16" t="str">
        <f t="shared" si="1"/>
        <v/>
      </c>
      <c r="H20" s="20"/>
    </row>
    <row r="21" spans="1:8" s="27" customFormat="1" ht="18" customHeight="1" x14ac:dyDescent="0.2">
      <c r="A21" s="27" t="s">
        <v>196</v>
      </c>
    </row>
    <row r="22" spans="1:8" ht="16" x14ac:dyDescent="0.2">
      <c r="A22" s="1" t="s">
        <v>44</v>
      </c>
      <c r="C22" s="1" t="s">
        <v>153</v>
      </c>
      <c r="D22" s="10" t="s">
        <v>150</v>
      </c>
      <c r="E22" s="26">
        <v>1</v>
      </c>
      <c r="G22" s="16" t="str">
        <f t="shared" si="1"/>
        <v/>
      </c>
      <c r="H22" s="20"/>
    </row>
    <row r="23" spans="1:8" ht="16" x14ac:dyDescent="0.2">
      <c r="A23" s="1" t="s">
        <v>44</v>
      </c>
      <c r="C23" s="1" t="s">
        <v>154</v>
      </c>
      <c r="D23" s="10" t="s">
        <v>151</v>
      </c>
      <c r="E23" s="26">
        <v>1</v>
      </c>
      <c r="G23" s="16" t="str">
        <f t="shared" si="1"/>
        <v/>
      </c>
      <c r="H23" s="20"/>
    </row>
    <row r="24" spans="1:8" s="27" customFormat="1" ht="18" customHeight="1" x14ac:dyDescent="0.2">
      <c r="A24" s="27" t="s">
        <v>197</v>
      </c>
    </row>
    <row r="25" spans="1:8" ht="16" x14ac:dyDescent="0.2">
      <c r="A25" s="1" t="s">
        <v>45</v>
      </c>
      <c r="C25" s="1" t="s">
        <v>155</v>
      </c>
      <c r="D25" s="10" t="s">
        <v>156</v>
      </c>
      <c r="E25" s="26">
        <v>1</v>
      </c>
      <c r="G25" s="16" t="str">
        <f t="shared" si="1"/>
        <v/>
      </c>
      <c r="H25" s="20"/>
    </row>
    <row r="26" spans="1:8" ht="16" x14ac:dyDescent="0.2">
      <c r="A26" s="1" t="s">
        <v>45</v>
      </c>
      <c r="C26" s="1" t="s">
        <v>158</v>
      </c>
      <c r="D26" s="10" t="s">
        <v>157</v>
      </c>
      <c r="E26" s="26">
        <v>1</v>
      </c>
      <c r="G26" s="16" t="str">
        <f t="shared" si="1"/>
        <v/>
      </c>
      <c r="H26" s="20"/>
    </row>
    <row r="27" spans="1:8" s="27" customFormat="1" ht="18" customHeight="1" x14ac:dyDescent="0.2">
      <c r="A27" s="27" t="s">
        <v>198</v>
      </c>
    </row>
    <row r="28" spans="1:8" ht="32" x14ac:dyDescent="0.2">
      <c r="A28" s="1" t="s">
        <v>76</v>
      </c>
      <c r="C28" s="1" t="s">
        <v>162</v>
      </c>
      <c r="D28" s="10" t="s">
        <v>160</v>
      </c>
      <c r="E28" s="26">
        <v>1</v>
      </c>
      <c r="G28" s="16" t="str">
        <f t="shared" si="1"/>
        <v/>
      </c>
      <c r="H28" s="20"/>
    </row>
    <row r="29" spans="1:8" ht="32" x14ac:dyDescent="0.2">
      <c r="A29" s="1" t="s">
        <v>76</v>
      </c>
      <c r="C29" s="1" t="s">
        <v>163</v>
      </c>
      <c r="D29" s="10" t="s">
        <v>161</v>
      </c>
      <c r="E29" s="26">
        <v>1</v>
      </c>
      <c r="G29" s="16" t="str">
        <f t="shared" si="1"/>
        <v/>
      </c>
      <c r="H29" s="20"/>
    </row>
    <row r="30" spans="1:8" s="27" customFormat="1" ht="18" customHeight="1" x14ac:dyDescent="0.2">
      <c r="A30" s="27" t="s">
        <v>199</v>
      </c>
    </row>
    <row r="31" spans="1:8" ht="32" x14ac:dyDescent="0.2">
      <c r="A31" s="1" t="s">
        <v>77</v>
      </c>
      <c r="C31" s="1" t="s">
        <v>165</v>
      </c>
      <c r="D31" s="10" t="s">
        <v>167</v>
      </c>
      <c r="E31" s="26">
        <v>1</v>
      </c>
      <c r="G31" s="16" t="str">
        <f t="shared" si="1"/>
        <v/>
      </c>
      <c r="H31" s="20"/>
    </row>
    <row r="32" spans="1:8" ht="32" x14ac:dyDescent="0.2">
      <c r="A32" s="1" t="s">
        <v>77</v>
      </c>
      <c r="C32" s="1" t="s">
        <v>166</v>
      </c>
      <c r="D32" s="10" t="s">
        <v>168</v>
      </c>
      <c r="E32" s="26">
        <v>1</v>
      </c>
      <c r="G32" s="16" t="str">
        <f t="shared" si="1"/>
        <v/>
      </c>
      <c r="H32" s="20"/>
    </row>
    <row r="33" spans="1:8" s="27" customFormat="1" ht="18" customHeight="1" x14ac:dyDescent="0.2">
      <c r="A33" s="27" t="s">
        <v>200</v>
      </c>
    </row>
    <row r="34" spans="1:8" ht="32" x14ac:dyDescent="0.2">
      <c r="A34" s="1" t="s">
        <v>78</v>
      </c>
      <c r="C34" s="1" t="s">
        <v>169</v>
      </c>
      <c r="D34" s="10" t="s">
        <v>129</v>
      </c>
      <c r="E34" s="26">
        <v>1</v>
      </c>
      <c r="G34" s="16" t="str">
        <f t="shared" si="1"/>
        <v/>
      </c>
      <c r="H34" s="20"/>
    </row>
    <row r="35" spans="1:8" ht="16" x14ac:dyDescent="0.2">
      <c r="A35" s="1" t="s">
        <v>78</v>
      </c>
      <c r="C35" s="1" t="s">
        <v>170</v>
      </c>
      <c r="D35" s="10" t="s">
        <v>130</v>
      </c>
      <c r="E35" s="26">
        <v>1</v>
      </c>
      <c r="G35" s="16" t="str">
        <f t="shared" si="1"/>
        <v/>
      </c>
      <c r="H35" s="20"/>
    </row>
    <row r="36" spans="1:8" ht="16" x14ac:dyDescent="0.2">
      <c r="A36" s="1" t="s">
        <v>78</v>
      </c>
      <c r="C36" s="1" t="s">
        <v>171</v>
      </c>
      <c r="D36" s="10" t="s">
        <v>127</v>
      </c>
      <c r="E36" s="26">
        <v>1</v>
      </c>
      <c r="G36" s="16" t="str">
        <f t="shared" si="1"/>
        <v/>
      </c>
      <c r="H36" s="20"/>
    </row>
    <row r="37" spans="1:8" ht="16" x14ac:dyDescent="0.2">
      <c r="A37" s="1" t="s">
        <v>78</v>
      </c>
      <c r="C37" s="1" t="s">
        <v>172</v>
      </c>
      <c r="D37" s="10" t="s">
        <v>131</v>
      </c>
      <c r="E37" s="26">
        <v>1</v>
      </c>
      <c r="G37" s="16" t="str">
        <f t="shared" si="1"/>
        <v/>
      </c>
      <c r="H37" s="20"/>
    </row>
    <row r="38" spans="1:8" ht="16" x14ac:dyDescent="0.2">
      <c r="A38" s="1" t="s">
        <v>78</v>
      </c>
      <c r="C38" s="1" t="s">
        <v>173</v>
      </c>
      <c r="D38" s="10" t="s">
        <v>128</v>
      </c>
      <c r="E38" s="26">
        <v>1</v>
      </c>
      <c r="G38" s="16" t="str">
        <f t="shared" si="1"/>
        <v/>
      </c>
      <c r="H38" s="20"/>
    </row>
    <row r="39" spans="1:8" ht="32" x14ac:dyDescent="0.2">
      <c r="A39" s="1" t="s">
        <v>78</v>
      </c>
      <c r="C39" s="1" t="s">
        <v>174</v>
      </c>
      <c r="D39" s="10" t="s">
        <v>132</v>
      </c>
      <c r="E39" s="26">
        <v>1</v>
      </c>
      <c r="G39" s="16" t="str">
        <f t="shared" si="1"/>
        <v/>
      </c>
      <c r="H39" s="20"/>
    </row>
    <row r="40" spans="1:8" s="27" customFormat="1" ht="18" customHeight="1" x14ac:dyDescent="0.2">
      <c r="A40" s="27" t="s">
        <v>201</v>
      </c>
    </row>
    <row r="41" spans="1:8" ht="32" x14ac:dyDescent="0.2">
      <c r="A41" s="1" t="s">
        <v>79</v>
      </c>
      <c r="C41" s="1" t="s">
        <v>175</v>
      </c>
      <c r="D41" s="10" t="s">
        <v>133</v>
      </c>
      <c r="E41" s="26">
        <v>1</v>
      </c>
      <c r="G41" s="16" t="str">
        <f t="shared" si="1"/>
        <v/>
      </c>
      <c r="H41" s="20"/>
    </row>
    <row r="42" spans="1:8" ht="32" x14ac:dyDescent="0.2">
      <c r="A42" s="1" t="s">
        <v>79</v>
      </c>
      <c r="C42" s="1" t="s">
        <v>176</v>
      </c>
      <c r="D42" s="10" t="s">
        <v>144</v>
      </c>
      <c r="E42" s="26">
        <v>1</v>
      </c>
      <c r="G42" s="16" t="str">
        <f t="shared" si="1"/>
        <v/>
      </c>
      <c r="H42" s="20"/>
    </row>
    <row r="43" spans="1:8" ht="16" x14ac:dyDescent="0.2">
      <c r="A43" s="1" t="s">
        <v>79</v>
      </c>
      <c r="C43" s="1" t="s">
        <v>177</v>
      </c>
      <c r="D43" s="10" t="s">
        <v>145</v>
      </c>
      <c r="E43" s="26">
        <v>1</v>
      </c>
      <c r="G43" s="16" t="str">
        <f t="shared" si="1"/>
        <v/>
      </c>
      <c r="H43" s="20"/>
    </row>
    <row r="44" spans="1:8" ht="32" x14ac:dyDescent="0.2">
      <c r="A44" s="1" t="s">
        <v>79</v>
      </c>
      <c r="C44" s="1" t="s">
        <v>178</v>
      </c>
      <c r="D44" s="10" t="s">
        <v>142</v>
      </c>
      <c r="E44" s="26">
        <v>1</v>
      </c>
      <c r="G44" s="16" t="str">
        <f t="shared" si="1"/>
        <v/>
      </c>
      <c r="H44" s="20"/>
    </row>
    <row r="45" spans="1:8" ht="32" x14ac:dyDescent="0.2">
      <c r="A45" s="1" t="s">
        <v>79</v>
      </c>
      <c r="C45" s="1" t="s">
        <v>179</v>
      </c>
      <c r="D45" s="10" t="s">
        <v>143</v>
      </c>
      <c r="E45" s="26">
        <v>1</v>
      </c>
      <c r="G45" s="16" t="str">
        <f t="shared" si="1"/>
        <v/>
      </c>
      <c r="H45" s="20"/>
    </row>
    <row r="46" spans="1:8" ht="32" x14ac:dyDescent="0.2">
      <c r="A46" s="1" t="s">
        <v>79</v>
      </c>
      <c r="C46" s="1" t="s">
        <v>180</v>
      </c>
      <c r="D46" s="10" t="s">
        <v>146</v>
      </c>
      <c r="E46" s="26">
        <v>1</v>
      </c>
      <c r="G46" s="16" t="str">
        <f t="shared" si="1"/>
        <v/>
      </c>
      <c r="H46" s="20"/>
    </row>
    <row r="47" spans="1:8" ht="16" x14ac:dyDescent="0.2">
      <c r="A47" s="1" t="s">
        <v>79</v>
      </c>
      <c r="C47" s="1" t="s">
        <v>181</v>
      </c>
      <c r="D47" s="10" t="s">
        <v>147</v>
      </c>
      <c r="E47" s="26">
        <v>1</v>
      </c>
      <c r="G47" s="16" t="str">
        <f t="shared" si="1"/>
        <v/>
      </c>
      <c r="H47" s="20"/>
    </row>
    <row r="48" spans="1:8" ht="16" x14ac:dyDescent="0.2">
      <c r="A48" s="1" t="s">
        <v>79</v>
      </c>
      <c r="C48" s="1" t="s">
        <v>182</v>
      </c>
      <c r="D48" s="10" t="s">
        <v>148</v>
      </c>
      <c r="E48" s="26">
        <v>1</v>
      </c>
      <c r="G48" s="16" t="str">
        <f t="shared" si="1"/>
        <v/>
      </c>
      <c r="H48" s="20"/>
    </row>
    <row r="49" spans="1:8" s="27" customFormat="1" ht="18" customHeight="1" x14ac:dyDescent="0.2">
      <c r="A49" s="27" t="s">
        <v>202</v>
      </c>
    </row>
    <row r="50" spans="1:8" ht="32" x14ac:dyDescent="0.2">
      <c r="A50" s="1" t="s">
        <v>80</v>
      </c>
      <c r="C50" s="1" t="s">
        <v>183</v>
      </c>
      <c r="D50" s="10" t="s">
        <v>134</v>
      </c>
      <c r="E50" s="26">
        <v>1</v>
      </c>
      <c r="G50" s="16" t="str">
        <f t="shared" si="1"/>
        <v/>
      </c>
      <c r="H50" s="20"/>
    </row>
    <row r="51" spans="1:8" s="27" customFormat="1" ht="18" customHeight="1" x14ac:dyDescent="0.2">
      <c r="A51" s="27" t="s">
        <v>203</v>
      </c>
    </row>
    <row r="52" spans="1:8" ht="16" x14ac:dyDescent="0.2">
      <c r="A52" s="1" t="s">
        <v>81</v>
      </c>
      <c r="C52" s="1" t="s">
        <v>184</v>
      </c>
      <c r="D52" s="10" t="s">
        <v>135</v>
      </c>
      <c r="E52" s="26">
        <v>1</v>
      </c>
      <c r="G52" s="16" t="str">
        <f t="shared" si="1"/>
        <v/>
      </c>
      <c r="H52" s="20"/>
    </row>
    <row r="53" spans="1:8" s="27" customFormat="1" ht="18" customHeight="1" x14ac:dyDescent="0.2">
      <c r="A53" s="27" t="s">
        <v>204</v>
      </c>
    </row>
    <row r="54" spans="1:8" ht="16" x14ac:dyDescent="0.2">
      <c r="A54" s="1" t="s">
        <v>82</v>
      </c>
      <c r="C54" s="1" t="s">
        <v>185</v>
      </c>
      <c r="D54" s="10" t="s">
        <v>136</v>
      </c>
      <c r="E54" s="26">
        <v>1</v>
      </c>
      <c r="G54" s="16" t="str">
        <f t="shared" si="1"/>
        <v/>
      </c>
      <c r="H54" s="20"/>
    </row>
    <row r="55" spans="1:8" ht="32" x14ac:dyDescent="0.2">
      <c r="A55" s="1" t="s">
        <v>82</v>
      </c>
      <c r="C55" s="1" t="s">
        <v>186</v>
      </c>
      <c r="D55" s="10" t="s">
        <v>137</v>
      </c>
      <c r="E55" s="26">
        <v>1</v>
      </c>
      <c r="G55" s="16" t="str">
        <f t="shared" si="1"/>
        <v/>
      </c>
      <c r="H55" s="20"/>
    </row>
    <row r="56" spans="1:8" s="27" customFormat="1" ht="18" customHeight="1" x14ac:dyDescent="0.2">
      <c r="A56" s="27" t="s">
        <v>205</v>
      </c>
    </row>
    <row r="57" spans="1:8" ht="32" x14ac:dyDescent="0.2">
      <c r="A57" s="1" t="s">
        <v>83</v>
      </c>
      <c r="C57" s="1" t="s">
        <v>187</v>
      </c>
      <c r="D57" s="10" t="s">
        <v>138</v>
      </c>
      <c r="E57" s="26">
        <v>1</v>
      </c>
      <c r="G57" s="16" t="str">
        <f t="shared" si="1"/>
        <v/>
      </c>
      <c r="H57" s="20"/>
    </row>
    <row r="58" spans="1:8" ht="16" x14ac:dyDescent="0.2">
      <c r="A58" s="1" t="s">
        <v>83</v>
      </c>
      <c r="C58" s="1" t="s">
        <v>188</v>
      </c>
      <c r="D58" s="10" t="s">
        <v>139</v>
      </c>
      <c r="E58" s="26">
        <v>1</v>
      </c>
      <c r="G58" s="16" t="str">
        <f t="shared" si="1"/>
        <v/>
      </c>
      <c r="H58" s="20"/>
    </row>
    <row r="59" spans="1:8" s="27" customFormat="1" ht="18" customHeight="1" x14ac:dyDescent="0.2">
      <c r="A59" s="27" t="s">
        <v>206</v>
      </c>
    </row>
    <row r="60" spans="1:8" ht="16" x14ac:dyDescent="0.2">
      <c r="A60" s="1" t="s">
        <v>84</v>
      </c>
      <c r="C60" s="1" t="s">
        <v>189</v>
      </c>
      <c r="D60" s="10" t="s">
        <v>140</v>
      </c>
      <c r="E60" s="26">
        <v>1</v>
      </c>
      <c r="G60" s="16" t="str">
        <f t="shared" si="1"/>
        <v/>
      </c>
      <c r="H60" s="20"/>
    </row>
    <row r="61" spans="1:8" ht="16" x14ac:dyDescent="0.2">
      <c r="A61" s="1" t="s">
        <v>84</v>
      </c>
      <c r="C61" s="1" t="s">
        <v>190</v>
      </c>
      <c r="D61" s="10" t="s">
        <v>141</v>
      </c>
      <c r="E61" s="26">
        <v>1</v>
      </c>
      <c r="G61" s="16" t="str">
        <f t="shared" si="1"/>
        <v/>
      </c>
      <c r="H61" s="20"/>
    </row>
    <row r="62" spans="1:8" x14ac:dyDescent="0.2">
      <c r="H62" s="20"/>
    </row>
    <row r="63" spans="1:8" x14ac:dyDescent="0.2">
      <c r="H63" s="20"/>
    </row>
    <row r="64" spans="1:8" x14ac:dyDescent="0.2">
      <c r="H64" s="20"/>
    </row>
    <row r="65" spans="8:8" x14ac:dyDescent="0.2">
      <c r="H65" s="20"/>
    </row>
    <row r="66" spans="8:8" x14ac:dyDescent="0.2">
      <c r="H66" s="20"/>
    </row>
    <row r="67" spans="8:8" x14ac:dyDescent="0.2">
      <c r="H67" s="20"/>
    </row>
    <row r="68" spans="8:8" x14ac:dyDescent="0.2">
      <c r="H68" s="20"/>
    </row>
    <row r="69" spans="8:8" x14ac:dyDescent="0.2">
      <c r="H69" s="20"/>
    </row>
    <row r="70" spans="8:8" x14ac:dyDescent="0.2">
      <c r="H70" s="20"/>
    </row>
    <row r="71" spans="8:8" x14ac:dyDescent="0.2">
      <c r="H71" s="20"/>
    </row>
    <row r="72" spans="8:8" x14ac:dyDescent="0.2">
      <c r="H72" s="20"/>
    </row>
    <row r="73" spans="8:8" x14ac:dyDescent="0.2">
      <c r="H73" s="20"/>
    </row>
    <row r="74" spans="8:8" x14ac:dyDescent="0.2">
      <c r="H74" s="20"/>
    </row>
    <row r="75" spans="8:8" x14ac:dyDescent="0.2">
      <c r="H75" s="20"/>
    </row>
    <row r="76" spans="8:8" x14ac:dyDescent="0.2">
      <c r="H76" s="20"/>
    </row>
    <row r="77" spans="8:8" x14ac:dyDescent="0.2">
      <c r="H77" s="20"/>
    </row>
    <row r="78" spans="8:8" x14ac:dyDescent="0.2">
      <c r="H78" s="20"/>
    </row>
    <row r="79" spans="8:8" x14ac:dyDescent="0.2">
      <c r="H79" s="20"/>
    </row>
    <row r="80" spans="8:8" x14ac:dyDescent="0.2">
      <c r="H80" s="20"/>
    </row>
    <row r="81" spans="8:8" x14ac:dyDescent="0.2">
      <c r="H81" s="20"/>
    </row>
    <row r="82" spans="8:8" x14ac:dyDescent="0.2">
      <c r="H82" s="20"/>
    </row>
    <row r="83" spans="8:8" x14ac:dyDescent="0.2">
      <c r="H83" s="20"/>
    </row>
    <row r="84" spans="8:8" x14ac:dyDescent="0.2">
      <c r="H84" s="20"/>
    </row>
    <row r="85" spans="8:8" x14ac:dyDescent="0.2">
      <c r="H85" s="20"/>
    </row>
    <row r="86" spans="8:8" x14ac:dyDescent="0.2">
      <c r="H86" s="20"/>
    </row>
    <row r="87" spans="8:8" x14ac:dyDescent="0.2">
      <c r="H87" s="20"/>
    </row>
    <row r="88" spans="8:8" x14ac:dyDescent="0.2">
      <c r="H88" s="20"/>
    </row>
    <row r="89" spans="8:8" x14ac:dyDescent="0.2">
      <c r="H89" s="20"/>
    </row>
    <row r="90" spans="8:8" x14ac:dyDescent="0.2">
      <c r="H90" s="20"/>
    </row>
    <row r="91" spans="8:8" x14ac:dyDescent="0.2">
      <c r="H91" s="20"/>
    </row>
    <row r="92" spans="8:8" x14ac:dyDescent="0.2">
      <c r="H92" s="20"/>
    </row>
    <row r="93" spans="8:8" x14ac:dyDescent="0.2">
      <c r="H93" s="20"/>
    </row>
    <row r="94" spans="8:8" x14ac:dyDescent="0.2">
      <c r="H94" s="20"/>
    </row>
    <row r="95" spans="8:8" x14ac:dyDescent="0.2">
      <c r="H95" s="20"/>
    </row>
    <row r="96" spans="8:8" x14ac:dyDescent="0.2">
      <c r="H96" s="20"/>
    </row>
    <row r="97" spans="8:8" x14ac:dyDescent="0.2">
      <c r="H97" s="20"/>
    </row>
    <row r="98" spans="8:8" x14ac:dyDescent="0.2">
      <c r="H98" s="20"/>
    </row>
    <row r="99" spans="8:8" x14ac:dyDescent="0.2">
      <c r="H99" s="20"/>
    </row>
    <row r="100" spans="8:8" x14ac:dyDescent="0.2">
      <c r="H100" s="20"/>
    </row>
    <row r="101" spans="8:8" x14ac:dyDescent="0.2">
      <c r="H101" s="20"/>
    </row>
    <row r="102" spans="8:8" x14ac:dyDescent="0.2">
      <c r="H102" s="20"/>
    </row>
    <row r="103" spans="8:8" x14ac:dyDescent="0.2">
      <c r="H103" s="20"/>
    </row>
    <row r="104" spans="8:8" x14ac:dyDescent="0.2">
      <c r="H104" s="20"/>
    </row>
    <row r="105" spans="8:8" x14ac:dyDescent="0.2">
      <c r="H105" s="20"/>
    </row>
    <row r="106" spans="8:8" x14ac:dyDescent="0.2">
      <c r="H106" s="20"/>
    </row>
    <row r="107" spans="8:8" x14ac:dyDescent="0.2">
      <c r="H107" s="20"/>
    </row>
    <row r="108" spans="8:8" x14ac:dyDescent="0.2">
      <c r="H108" s="20"/>
    </row>
    <row r="109" spans="8:8" x14ac:dyDescent="0.2">
      <c r="H109" s="20"/>
    </row>
    <row r="110" spans="8:8" x14ac:dyDescent="0.2">
      <c r="H110" s="20"/>
    </row>
    <row r="111" spans="8:8" x14ac:dyDescent="0.2">
      <c r="H111" s="20"/>
    </row>
    <row r="112" spans="8:8" x14ac:dyDescent="0.2">
      <c r="H112" s="20"/>
    </row>
    <row r="113" spans="8:8" x14ac:dyDescent="0.2">
      <c r="H113" s="20"/>
    </row>
    <row r="114" spans="8:8" x14ac:dyDescent="0.2">
      <c r="H114" s="20"/>
    </row>
    <row r="115" spans="8:8" x14ac:dyDescent="0.2">
      <c r="H115" s="20"/>
    </row>
    <row r="116" spans="8:8" x14ac:dyDescent="0.2">
      <c r="H116" s="20"/>
    </row>
    <row r="117" spans="8:8" x14ac:dyDescent="0.2">
      <c r="H117" s="20"/>
    </row>
    <row r="118" spans="8:8" x14ac:dyDescent="0.2">
      <c r="H118" s="20"/>
    </row>
    <row r="119" spans="8:8" x14ac:dyDescent="0.2">
      <c r="H119" s="20"/>
    </row>
    <row r="120" spans="8:8" x14ac:dyDescent="0.2">
      <c r="H120" s="20"/>
    </row>
    <row r="121" spans="8:8" x14ac:dyDescent="0.2">
      <c r="H121" s="20"/>
    </row>
    <row r="122" spans="8:8" x14ac:dyDescent="0.2">
      <c r="H122" s="20"/>
    </row>
    <row r="123" spans="8:8" x14ac:dyDescent="0.2">
      <c r="H123" s="20"/>
    </row>
    <row r="124" spans="8:8" x14ac:dyDescent="0.2">
      <c r="H124" s="20"/>
    </row>
    <row r="125" spans="8:8" x14ac:dyDescent="0.2">
      <c r="H125" s="20"/>
    </row>
    <row r="126" spans="8:8" x14ac:dyDescent="0.2">
      <c r="H126" s="20"/>
    </row>
    <row r="127" spans="8:8" x14ac:dyDescent="0.2">
      <c r="H127" s="20"/>
    </row>
    <row r="128" spans="8:8" x14ac:dyDescent="0.2">
      <c r="H128" s="20"/>
    </row>
    <row r="129" spans="8:8" x14ac:dyDescent="0.2">
      <c r="H129" s="20"/>
    </row>
    <row r="130" spans="8:8" x14ac:dyDescent="0.2">
      <c r="H130" s="20"/>
    </row>
    <row r="131" spans="8:8" x14ac:dyDescent="0.2">
      <c r="H131" s="20"/>
    </row>
    <row r="132" spans="8:8" x14ac:dyDescent="0.2">
      <c r="H132" s="20"/>
    </row>
    <row r="133" spans="8:8" x14ac:dyDescent="0.2">
      <c r="H133" s="20"/>
    </row>
    <row r="134" spans="8:8" x14ac:dyDescent="0.2">
      <c r="H134" s="20"/>
    </row>
    <row r="135" spans="8:8" x14ac:dyDescent="0.2">
      <c r="H135" s="20"/>
    </row>
    <row r="136" spans="8:8" x14ac:dyDescent="0.2">
      <c r="H136" s="20"/>
    </row>
    <row r="137" spans="8:8" x14ac:dyDescent="0.2">
      <c r="H137" s="20"/>
    </row>
    <row r="138" spans="8:8" x14ac:dyDescent="0.2">
      <c r="H138" s="20"/>
    </row>
    <row r="139" spans="8:8" x14ac:dyDescent="0.2">
      <c r="H139" s="20"/>
    </row>
    <row r="140" spans="8:8" x14ac:dyDescent="0.2">
      <c r="H140" s="20"/>
    </row>
    <row r="141" spans="8:8" x14ac:dyDescent="0.2">
      <c r="H141" s="20"/>
    </row>
    <row r="142" spans="8:8" x14ac:dyDescent="0.2">
      <c r="H142" s="20"/>
    </row>
    <row r="143" spans="8:8" x14ac:dyDescent="0.2">
      <c r="H143" s="20"/>
    </row>
    <row r="144" spans="8:8" x14ac:dyDescent="0.2">
      <c r="H144" s="20"/>
    </row>
    <row r="145" spans="8:8" x14ac:dyDescent="0.2">
      <c r="H145" s="20"/>
    </row>
    <row r="146" spans="8:8" x14ac:dyDescent="0.2">
      <c r="H146" s="20"/>
    </row>
    <row r="147" spans="8:8" x14ac:dyDescent="0.2">
      <c r="H147" s="20"/>
    </row>
    <row r="148" spans="8:8" x14ac:dyDescent="0.2">
      <c r="H148" s="20"/>
    </row>
    <row r="149" spans="8:8" x14ac:dyDescent="0.2">
      <c r="H149" s="20"/>
    </row>
    <row r="150" spans="8:8" x14ac:dyDescent="0.2">
      <c r="H150" s="20"/>
    </row>
    <row r="151" spans="8:8" x14ac:dyDescent="0.2">
      <c r="H151" s="20"/>
    </row>
    <row r="152" spans="8:8" x14ac:dyDescent="0.2">
      <c r="H152" s="20"/>
    </row>
    <row r="153" spans="8:8" x14ac:dyDescent="0.2">
      <c r="H153" s="20"/>
    </row>
    <row r="154" spans="8:8" x14ac:dyDescent="0.2">
      <c r="H154" s="20"/>
    </row>
    <row r="155" spans="8:8" x14ac:dyDescent="0.2">
      <c r="H155" s="20"/>
    </row>
    <row r="156" spans="8:8" x14ac:dyDescent="0.2">
      <c r="H156" s="20"/>
    </row>
    <row r="157" spans="8:8" x14ac:dyDescent="0.2">
      <c r="H157" s="20"/>
    </row>
    <row r="158" spans="8:8" x14ac:dyDescent="0.2">
      <c r="H158" s="20"/>
    </row>
    <row r="159" spans="8:8" x14ac:dyDescent="0.2">
      <c r="H159" s="20"/>
    </row>
    <row r="160" spans="8:8" x14ac:dyDescent="0.2">
      <c r="H160" s="20"/>
    </row>
    <row r="161" spans="8:8" x14ac:dyDescent="0.2">
      <c r="H161" s="20"/>
    </row>
    <row r="162" spans="8:8" x14ac:dyDescent="0.2">
      <c r="H162" s="20"/>
    </row>
    <row r="163" spans="8:8" x14ac:dyDescent="0.2">
      <c r="H163" s="20"/>
    </row>
    <row r="164" spans="8:8" x14ac:dyDescent="0.2">
      <c r="H164" s="20"/>
    </row>
    <row r="165" spans="8:8" x14ac:dyDescent="0.2">
      <c r="H165" s="20"/>
    </row>
    <row r="166" spans="8:8" x14ac:dyDescent="0.2">
      <c r="H166" s="20"/>
    </row>
    <row r="167" spans="8:8" x14ac:dyDescent="0.2">
      <c r="H167" s="20"/>
    </row>
    <row r="168" spans="8:8" x14ac:dyDescent="0.2">
      <c r="H168" s="20"/>
    </row>
    <row r="169" spans="8:8" x14ac:dyDescent="0.2">
      <c r="H169" s="20"/>
    </row>
    <row r="170" spans="8:8" x14ac:dyDescent="0.2">
      <c r="H170" s="20"/>
    </row>
    <row r="171" spans="8:8" x14ac:dyDescent="0.2">
      <c r="H171" s="20"/>
    </row>
    <row r="172" spans="8:8" x14ac:dyDescent="0.2">
      <c r="H172" s="20"/>
    </row>
    <row r="173" spans="8:8" x14ac:dyDescent="0.2">
      <c r="H173" s="20"/>
    </row>
    <row r="174" spans="8:8" x14ac:dyDescent="0.2">
      <c r="H174" s="20"/>
    </row>
    <row r="175" spans="8:8" x14ac:dyDescent="0.2">
      <c r="H175" s="20"/>
    </row>
    <row r="176" spans="8:8" x14ac:dyDescent="0.2">
      <c r="H176" s="20"/>
    </row>
    <row r="177" spans="8:8" x14ac:dyDescent="0.2">
      <c r="H177" s="20"/>
    </row>
    <row r="178" spans="8:8" x14ac:dyDescent="0.2">
      <c r="H178" s="20"/>
    </row>
    <row r="179" spans="8:8" x14ac:dyDescent="0.2">
      <c r="H179" s="20"/>
    </row>
    <row r="180" spans="8:8" x14ac:dyDescent="0.2">
      <c r="H180" s="20"/>
    </row>
    <row r="181" spans="8:8" x14ac:dyDescent="0.2">
      <c r="H181" s="20"/>
    </row>
    <row r="182" spans="8:8" x14ac:dyDescent="0.2">
      <c r="H182" s="20"/>
    </row>
    <row r="183" spans="8:8" x14ac:dyDescent="0.2">
      <c r="H183" s="20"/>
    </row>
    <row r="184" spans="8:8" x14ac:dyDescent="0.2">
      <c r="H184" s="20"/>
    </row>
    <row r="185" spans="8:8" x14ac:dyDescent="0.2">
      <c r="H185" s="20"/>
    </row>
    <row r="186" spans="8:8" x14ac:dyDescent="0.2">
      <c r="H186" s="20"/>
    </row>
    <row r="187" spans="8:8" x14ac:dyDescent="0.2">
      <c r="H187" s="20"/>
    </row>
    <row r="188" spans="8:8" x14ac:dyDescent="0.2">
      <c r="H188" s="20"/>
    </row>
    <row r="189" spans="8:8" x14ac:dyDescent="0.2">
      <c r="H189" s="20"/>
    </row>
    <row r="190" spans="8:8" x14ac:dyDescent="0.2">
      <c r="H190" s="20"/>
    </row>
    <row r="191" spans="8:8" x14ac:dyDescent="0.2">
      <c r="H191" s="20"/>
    </row>
    <row r="192" spans="8:8" x14ac:dyDescent="0.2">
      <c r="H192" s="20"/>
    </row>
    <row r="193" spans="8:8" x14ac:dyDescent="0.2">
      <c r="H193" s="20"/>
    </row>
    <row r="194" spans="8:8" x14ac:dyDescent="0.2">
      <c r="H194" s="20"/>
    </row>
    <row r="195" spans="8:8" x14ac:dyDescent="0.2">
      <c r="H195" s="20"/>
    </row>
    <row r="196" spans="8:8" x14ac:dyDescent="0.2">
      <c r="H196" s="20"/>
    </row>
    <row r="197" spans="8:8" x14ac:dyDescent="0.2">
      <c r="H197" s="20"/>
    </row>
    <row r="198" spans="8:8" x14ac:dyDescent="0.2">
      <c r="H198" s="20"/>
    </row>
    <row r="199" spans="8:8" x14ac:dyDescent="0.2">
      <c r="H199" s="20"/>
    </row>
    <row r="200" spans="8:8" x14ac:dyDescent="0.2">
      <c r="H200" s="20"/>
    </row>
    <row r="201" spans="8:8" x14ac:dyDescent="0.2">
      <c r="H201" s="20"/>
    </row>
    <row r="202" spans="8:8" x14ac:dyDescent="0.2">
      <c r="H202" s="20"/>
    </row>
  </sheetData>
  <mergeCells count="16">
    <mergeCell ref="A2:XFD2"/>
    <mergeCell ref="A7:XFD7"/>
    <mergeCell ref="A10:XFD10"/>
    <mergeCell ref="A15:XFD15"/>
    <mergeCell ref="A19:XFD19"/>
    <mergeCell ref="A21:XFD21"/>
    <mergeCell ref="A24:XFD24"/>
    <mergeCell ref="A27:XFD27"/>
    <mergeCell ref="A30:XFD30"/>
    <mergeCell ref="A33:XFD33"/>
    <mergeCell ref="A59:XFD59"/>
    <mergeCell ref="A40:XFD40"/>
    <mergeCell ref="A49:XFD49"/>
    <mergeCell ref="A51:XFD51"/>
    <mergeCell ref="A56:XFD56"/>
    <mergeCell ref="A53:XFD53"/>
  </mergeCells>
  <phoneticPr fontId="3" type="noConversion"/>
  <dataValidations count="2">
    <dataValidation type="list" allowBlank="1" showInputMessage="1" showErrorMessage="1" sqref="J3:J6 J8:J9 J11:J14 J16:J18 J20 J22:J23 J25:J26 J28:J29 J31:J32 J34:J38" xr:uid="{92334BE6-0C8D-45E9-9AAF-65B3856BB004}">
      <formula1>RESOURCE</formula1>
    </dataValidation>
    <dataValidation type="list" allowBlank="1" showInputMessage="1" showErrorMessage="1" sqref="H3:H6 H8:H9 H11:H14 H16:H18 H20 H22:H23 H25:H26 H28:H29 H31:H32 H34:H39 H41:H48 H50 H54:H55 H52 H57:H58 H60:H202" xr:uid="{F83B570E-6A3F-4E95-A39A-7EDED691CDA5}">
      <formula1>Status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081055-AA61-467F-97F4-9438FE641DFC}">
          <x14:formula1>
            <xm:f>'Project Estimates'!$A:$A</xm:f>
          </x14:formula1>
          <xm:sqref>A3:A6 A8:A9 A34:A39 A31:A32 A28:A29 A25:A26 A22:A23 A20 A16:A18 A11:A14 A41:A48 A50 A54:A55 A52 A57:A58 A60:A61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E88F9-4166-48E3-93A1-A3A0E0C79D4C}">
  <dimension ref="A1:G6"/>
  <sheetViews>
    <sheetView workbookViewId="0">
      <selection activeCell="C14" sqref="C14"/>
    </sheetView>
  </sheetViews>
  <sheetFormatPr baseColWidth="10" defaultColWidth="9.1640625" defaultRowHeight="15" x14ac:dyDescent="0.2"/>
  <cols>
    <col min="1" max="1" width="8.1640625" style="1" customWidth="1"/>
    <col min="2" max="2" width="26.5" style="1" customWidth="1"/>
    <col min="3" max="3" width="28.5" style="1" customWidth="1"/>
    <col min="4" max="4" width="24" style="1" customWidth="1"/>
    <col min="5" max="5" width="24" style="8" customWidth="1"/>
    <col min="6" max="6" width="14.83203125" style="8" customWidth="1"/>
    <col min="7" max="7" width="16.1640625" style="8" customWidth="1"/>
    <col min="8" max="16384" width="9.1640625" style="1"/>
  </cols>
  <sheetData>
    <row r="1" spans="1:7" s="12" customFormat="1" ht="29.25" customHeight="1" x14ac:dyDescent="0.2">
      <c r="A1" s="11" t="s">
        <v>32</v>
      </c>
      <c r="B1" s="11" t="s">
        <v>33</v>
      </c>
      <c r="C1" s="11" t="s">
        <v>34</v>
      </c>
      <c r="D1" s="11" t="s">
        <v>35</v>
      </c>
      <c r="E1" s="11" t="s">
        <v>39</v>
      </c>
      <c r="F1" s="11" t="s">
        <v>38</v>
      </c>
      <c r="G1" s="11" t="s">
        <v>11</v>
      </c>
    </row>
    <row r="2" spans="1:7" x14ac:dyDescent="0.2">
      <c r="A2" s="1">
        <v>1</v>
      </c>
      <c r="B2" s="9" t="s">
        <v>117</v>
      </c>
      <c r="C2" s="1" t="s">
        <v>36</v>
      </c>
      <c r="D2" s="9" t="s">
        <v>46</v>
      </c>
      <c r="E2" s="8">
        <f>SUMIFS( 'Sprint Planner'!E:E,'Sprint Planner'!J:J, Resources!B2)</f>
        <v>0</v>
      </c>
      <c r="F2" s="8">
        <f>SUMIFS('Sprint Planner'!E:E, 'Sprint Planner'!J:J, Resources!B2,'Sprint Planner'!H:H,"IN-PROGRESS" )</f>
        <v>0</v>
      </c>
      <c r="G2" s="8">
        <f>SUMIFS( 'Sprint Planner'!E:E,'Sprint Planner'!J:J, Resources!B2, 'Sprint Planner'!H:H, "COMPLETED")</f>
        <v>0</v>
      </c>
    </row>
    <row r="3" spans="1:7" x14ac:dyDescent="0.2">
      <c r="A3" s="1">
        <v>2</v>
      </c>
      <c r="B3" s="17" t="s">
        <v>116</v>
      </c>
      <c r="C3" s="1" t="s">
        <v>36</v>
      </c>
      <c r="D3" s="17" t="s">
        <v>115</v>
      </c>
      <c r="E3" s="8">
        <f>SUMIFS( 'Sprint Planner'!E:E,'Sprint Planner'!J:J, Resources!B3)</f>
        <v>2</v>
      </c>
      <c r="F3" s="8">
        <f>SUMIFS( 'Sprint Planner'!E:E,'Sprint Planner'!J:J, Resources!B3, 'Sprint Planner'!H:H, "IN-PROGRESS")</f>
        <v>0</v>
      </c>
      <c r="G3" s="8">
        <f>SUMIFS( 'Sprint Planner'!E:E,'Sprint Planner'!J:J, Resources!B3, 'Sprint Planner'!H:H, "COMPLETED")</f>
        <v>2</v>
      </c>
    </row>
    <row r="4" spans="1:7" x14ac:dyDescent="0.2">
      <c r="A4" s="1">
        <v>3</v>
      </c>
      <c r="B4" s="17" t="s">
        <v>47</v>
      </c>
      <c r="C4" s="1" t="s">
        <v>36</v>
      </c>
      <c r="D4" s="17" t="s">
        <v>118</v>
      </c>
      <c r="E4" s="8">
        <f>SUMIFS( 'Sprint Planner'!E:E,'Sprint Planner'!J:J, Resources!B4)</f>
        <v>2</v>
      </c>
      <c r="F4" s="8">
        <f>SUMIFS( 'Sprint Planner'!E:E,'Sprint Planner'!J:J, Resources!B4, 'Sprint Planner'!H:H, "IN-PROGRESS")</f>
        <v>0</v>
      </c>
      <c r="G4" s="8">
        <f>SUMIFS( 'Sprint Planner'!E:E,'Sprint Planner'!J:J, Resources!B4, 'Sprint Planner'!H:H, "COMPLETED")</f>
        <v>0</v>
      </c>
    </row>
    <row r="5" spans="1:7" x14ac:dyDescent="0.2">
      <c r="A5" s="1">
        <v>4</v>
      </c>
      <c r="B5" s="17" t="s">
        <v>119</v>
      </c>
      <c r="C5" s="1" t="s">
        <v>36</v>
      </c>
      <c r="D5" s="17" t="s">
        <v>48</v>
      </c>
      <c r="E5" s="8">
        <f>SUMIFS( 'Sprint Planner'!E:E,'Sprint Planner'!J:J, Resources!B5)</f>
        <v>0</v>
      </c>
      <c r="F5" s="8">
        <f>SUMIFS( 'Sprint Planner'!E:E,'Sprint Planner'!J:J, Resources!B5, 'Sprint Planner'!H:H, "IN-PROGRESS")</f>
        <v>0</v>
      </c>
      <c r="G5" s="8">
        <f>SUMIFS( 'Sprint Planner'!E:E,'Sprint Planner'!J:J, Resources!B5, 'Sprint Planner'!H:H, "COMPLETED")</f>
        <v>0</v>
      </c>
    </row>
    <row r="6" spans="1:7" x14ac:dyDescent="0.2">
      <c r="A6" s="1">
        <v>5</v>
      </c>
      <c r="B6" s="9" t="s">
        <v>120</v>
      </c>
      <c r="C6" s="1" t="s">
        <v>208</v>
      </c>
      <c r="D6" s="9" t="s">
        <v>121</v>
      </c>
    </row>
  </sheetData>
  <dataValidations count="1">
    <dataValidation type="list" allowBlank="1" showInputMessage="1" showErrorMessage="1" sqref="C2:C6" xr:uid="{C966598A-649C-46FB-B203-996A3C6A49F0}">
      <formula1>RESOURCETYPE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01927-5163-410A-9AEA-920E450C2E2F}">
  <dimension ref="A1:E6"/>
  <sheetViews>
    <sheetView tabSelected="1" workbookViewId="0">
      <selection activeCell="E4" sqref="E4"/>
    </sheetView>
  </sheetViews>
  <sheetFormatPr baseColWidth="10" defaultColWidth="8.83203125" defaultRowHeight="15" x14ac:dyDescent="0.2"/>
  <cols>
    <col min="1" max="1" width="28.33203125" customWidth="1"/>
    <col min="3" max="3" width="17.6640625" customWidth="1"/>
    <col min="5" max="5" width="26.6640625" customWidth="1"/>
  </cols>
  <sheetData>
    <row r="1" spans="1:5" x14ac:dyDescent="0.2">
      <c r="A1" s="24" t="s">
        <v>24</v>
      </c>
      <c r="B1" s="24"/>
      <c r="C1" s="25" t="s">
        <v>31</v>
      </c>
      <c r="D1" s="24"/>
      <c r="E1" s="24" t="s">
        <v>34</v>
      </c>
    </row>
    <row r="2" spans="1:5" x14ac:dyDescent="0.2">
      <c r="A2" s="22" t="s">
        <v>25</v>
      </c>
      <c r="C2" s="4">
        <v>30</v>
      </c>
      <c r="E2" s="22" t="s">
        <v>36</v>
      </c>
    </row>
    <row r="3" spans="1:5" x14ac:dyDescent="0.2">
      <c r="A3" s="22" t="s">
        <v>26</v>
      </c>
      <c r="E3" s="23" t="s">
        <v>208</v>
      </c>
    </row>
    <row r="4" spans="1:5" x14ac:dyDescent="0.2">
      <c r="A4" s="22" t="s">
        <v>27</v>
      </c>
      <c r="E4" s="22" t="s">
        <v>37</v>
      </c>
    </row>
    <row r="5" spans="1:5" x14ac:dyDescent="0.2">
      <c r="A5" s="22" t="s">
        <v>28</v>
      </c>
    </row>
    <row r="6" spans="1:5" x14ac:dyDescent="0.2">
      <c r="A6" s="22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CD605E-6E68-4578-B52D-C11AAD08CE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Project Dashboard</vt:lpstr>
      <vt:lpstr>Project Estimates</vt:lpstr>
      <vt:lpstr>Sprint Planner</vt:lpstr>
      <vt:lpstr>Resources</vt:lpstr>
      <vt:lpstr>Helpers</vt:lpstr>
      <vt:lpstr>RESOURCE</vt:lpstr>
      <vt:lpstr>RESOURCETYPE</vt:lpstr>
      <vt:lpstr>Status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Office634;Ruben Gerad Mathew</dc:creator>
  <cp:keywords/>
  <dc:description/>
  <cp:lastModifiedBy>Ruben Gerad Mathew</cp:lastModifiedBy>
  <cp:revision/>
  <dcterms:created xsi:type="dcterms:W3CDTF">2020-10-30T19:51:42Z</dcterms:created>
  <dcterms:modified xsi:type="dcterms:W3CDTF">2022-07-06T21:10:34Z</dcterms:modified>
  <cp:category/>
  <cp:contentStatus/>
</cp:coreProperties>
</file>